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Analysis &amp; CAPM" sheetId="2" state="visible" r:id="rId4"/>
    <sheet name="Cumulative Retur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<sst xmlns="http://schemas.openxmlformats.org/spreadsheetml/2006/main" count="621" uniqueCount="327">
  <si>
    <t xml:space="preserve">Date</t>
  </si>
  <si>
    <t xml:space="preserve">Low Vol Return (%)</t>
  </si>
  <si>
    <t xml:space="preserve">High Vol Return (%)</t>
  </si>
  <si>
    <t xml:space="preserve">Market Return (%)</t>
  </si>
  <si>
    <t xml:space="preserve">T-Bill Rate (%)</t>
  </si>
  <si>
    <t xml:space="preserve">2000-01</t>
  </si>
  <si>
    <t xml:space="preserve">2000-02</t>
  </si>
  <si>
    <t xml:space="preserve">2000-03</t>
  </si>
  <si>
    <t xml:space="preserve">2000-04</t>
  </si>
  <si>
    <t xml:space="preserve">2000-05</t>
  </si>
  <si>
    <t xml:space="preserve">2000-06</t>
  </si>
  <si>
    <t xml:space="preserve">2000-07</t>
  </si>
  <si>
    <t xml:space="preserve">2000-08</t>
  </si>
  <si>
    <t xml:space="preserve">2000-09</t>
  </si>
  <si>
    <t xml:space="preserve">2000-10</t>
  </si>
  <si>
    <t xml:space="preserve">2000-11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</si>
  <si>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</si>
  <si>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</si>
  <si>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</si>
  <si>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</si>
  <si>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</si>
  <si>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</si>
  <si>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2001-06</t>
  </si>
  <si>
    <t xml:space="preserve">2001-07</t>
  </si>
  <si>
    <t xml:space="preserve">2001-08</t>
  </si>
  <si>
    <t xml:space="preserve">2001-09</t>
  </si>
  <si>
    <t xml:space="preserve">2001-10</t>
  </si>
  <si>
    <t xml:space="preserve">2001-11</t>
  </si>
  <si>
    <t xml:space="preserve">2001-12</t>
  </si>
  <si>
    <t xml:space="preserve">2002-01</t>
  </si>
  <si>
    <t xml:space="preserve">2002-02</t>
  </si>
  <si>
    <t xml:space="preserve">2002-03</t>
  </si>
  <si>
    <t xml:space="preserve">2002-04</t>
  </si>
  <si>
    <t xml:space="preserve">2002-05</t>
  </si>
  <si>
    <t xml:space="preserve">2002-06</t>
  </si>
  <si>
    <t xml:space="preserve">2002-07</t>
  </si>
  <si>
    <t xml:space="preserve">2002-08</t>
  </si>
  <si>
    <t xml:space="preserve">2002-09</t>
  </si>
  <si>
    <t xml:space="preserve">2002-10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</si>
  <si>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</si>
  <si>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</si>
  <si>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</si>
  <si>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</si>
  <si>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</si>
  <si>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2003-04</t>
  </si>
  <si>
    <t xml:space="preserve">2003-05</t>
  </si>
  <si>
    <t xml:space="preserve">2003-06</t>
  </si>
  <si>
    <t xml:space="preserve">2003-07</t>
  </si>
  <si>
    <t xml:space="preserve">2003-08</t>
  </si>
  <si>
    <t xml:space="preserve">2003-09</t>
  </si>
  <si>
    <t xml:space="preserve">2003-10</t>
  </si>
  <si>
    <t xml:space="preserve">2003-11</t>
  </si>
  <si>
    <t xml:space="preserve">2003-12</t>
  </si>
  <si>
    <t xml:space="preserve">2004-01</t>
  </si>
  <si>
    <t xml:space="preserve">2004-02</t>
  </si>
  <si>
    <t xml:space="preserve">2004-03</t>
  </si>
  <si>
    <t xml:space="preserve">2004-04</t>
  </si>
  <si>
    <t xml:space="preserve">2004-05</t>
  </si>
  <si>
    <t xml:space="preserve">2004-06</t>
  </si>
  <si>
    <t xml:space="preserve">2004-07</t>
  </si>
  <si>
    <t xml:space="preserve">2004-08</t>
  </si>
  <si>
    <t xml:space="preserve">2004-09</t>
  </si>
  <si>
    <t xml:space="preserve">2004-10</t>
  </si>
  <si>
    <t xml:space="preserve">2004-11</t>
  </si>
  <si>
    <t xml:space="preserve">2004-12</t>
  </si>
  <si>
    <t xml:space="preserve">2005-01</t>
  </si>
  <si>
    <t xml:space="preserve">2005-02</t>
  </si>
  <si>
    <t xml:space="preserve">2005-03</t>
  </si>
  <si>
    <t xml:space="preserve">2005-04</t>
  </si>
  <si>
    <t xml:space="preserve">2005-05</t>
  </si>
  <si>
    <t xml:space="preserve">2005-06</t>
  </si>
  <si>
    <t xml:space="preserve">2005-07</t>
  </si>
  <si>
    <t xml:space="preserve">2005-08</t>
  </si>
  <si>
    <t xml:space="preserve">2005-09</t>
  </si>
  <si>
    <t xml:space="preserve">2005-10</t>
  </si>
  <si>
    <t xml:space="preserve">2005-11</t>
  </si>
  <si>
    <t xml:space="preserve">2005-12</t>
  </si>
  <si>
    <t xml:space="preserve">2006-01</t>
  </si>
  <si>
    <t xml:space="preserve">2006-02</t>
  </si>
  <si>
    <t xml:space="preserve">2006-03</t>
  </si>
  <si>
    <t xml:space="preserve">2006-04</t>
  </si>
  <si>
    <t xml:space="preserve">2006-05</t>
  </si>
  <si>
    <t xml:space="preserve">2006-06</t>
  </si>
  <si>
    <t xml:space="preserve">2006-07</t>
  </si>
  <si>
    <t xml:space="preserve">2006-08</t>
  </si>
  <si>
    <t xml:space="preserve">2006-09</t>
  </si>
  <si>
    <t xml:space="preserve">2006-10</t>
  </si>
  <si>
    <t xml:space="preserve">2006-11</t>
  </si>
  <si>
    <t xml:space="preserve">2006-12</t>
  </si>
  <si>
    <t xml:space="preserve">2007-01</t>
  </si>
  <si>
    <t xml:space="preserve">2007-02</t>
  </si>
  <si>
    <t xml:space="preserve">2007-03</t>
  </si>
  <si>
    <t xml:space="preserve">2007-04</t>
  </si>
  <si>
    <t xml:space="preserve">2007-05</t>
  </si>
  <si>
    <t xml:space="preserve">2007-06</t>
  </si>
  <si>
    <t xml:space="preserve">2007-07</t>
  </si>
  <si>
    <t xml:space="preserve">2007-08</t>
  </si>
  <si>
    <t xml:space="preserve">2007-09</t>
  </si>
  <si>
    <t xml:space="preserve">2007-10</t>
  </si>
  <si>
    <t xml:space="preserve">2007-11</t>
  </si>
  <si>
    <t xml:space="preserve">2007-12</t>
  </si>
  <si>
    <t xml:space="preserve">2008-01</t>
  </si>
  <si>
    <t xml:space="preserve">2008-02</t>
  </si>
  <si>
    <t xml:space="preserve">2008-03</t>
  </si>
  <si>
    <t xml:space="preserve">2008-04</t>
  </si>
  <si>
    <t xml:space="preserve">2008-05</t>
  </si>
  <si>
    <t xml:space="preserve">2008-06</t>
  </si>
  <si>
    <t xml:space="preserve">2008-07</t>
  </si>
  <si>
    <t xml:space="preserve">2008-08</t>
  </si>
  <si>
    <t xml:space="preserve">2008-09</t>
  </si>
  <si>
    <t xml:space="preserve">2008-10</t>
  </si>
  <si>
    <t xml:space="preserve">2008-11</t>
  </si>
  <si>
    <t xml:space="preserve">2008-12</t>
  </si>
  <si>
    <t xml:space="preserve">2009-01</t>
  </si>
  <si>
    <t xml:space="preserve">2009-02</t>
  </si>
  <si>
    <t xml:space="preserve">2009-03</t>
  </si>
  <si>
    <t xml:space="preserve">2009-04</t>
  </si>
  <si>
    <t xml:space="preserve">2009-05</t>
  </si>
  <si>
    <t xml:space="preserve">2009-06</t>
  </si>
  <si>
    <t xml:space="preserve">2009-07</t>
  </si>
  <si>
    <t xml:space="preserve">2009-08</t>
  </si>
  <si>
    <t xml:space="preserve">2009-09</t>
  </si>
  <si>
    <t xml:space="preserve">2009-10</t>
  </si>
  <si>
    <t xml:space="preserve">2009-11</t>
  </si>
  <si>
    <t xml:space="preserve">2009-12</t>
  </si>
  <si>
    <t xml:space="preserve">2010-01</t>
  </si>
  <si>
    <t xml:space="preserve">2010-02</t>
  </si>
  <si>
    <t xml:space="preserve">2010-03</t>
  </si>
  <si>
    <t xml:space="preserve">2010-04</t>
  </si>
  <si>
    <t xml:space="preserve">2010-05</t>
  </si>
  <si>
    <t xml:space="preserve">2010-06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</si>
  <si>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</si>
  <si>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</si>
  <si>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</si>
  <si>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</si>
  <si>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</si>
  <si>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2010-12</t>
  </si>
  <si>
    <t xml:space="preserve">2011-01</t>
  </si>
  <si>
    <t xml:space="preserve">2011-02</t>
  </si>
  <si>
    <t xml:space="preserve">2011-03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</si>
  <si>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</si>
  <si>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</si>
  <si>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</si>
  <si>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</si>
  <si>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</si>
  <si>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</si>
  <si>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</si>
  <si>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</si>
  <si>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</si>
  <si>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2012-01</t>
  </si>
  <si>
    <t xml:space="preserve">2012-02</t>
  </si>
  <si>
    <t xml:space="preserve">2012-03</t>
  </si>
  <si>
    <t xml:space="preserve">2012-04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</si>
  <si>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</si>
  <si>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</si>
  <si>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</si>
  <si>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</si>
  <si>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</si>
  <si>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</si>
  <si>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</si>
  <si>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</si>
  <si>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</si>
  <si>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</si>
  <si>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</si>
  <si>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</si>
  <si>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</si>
  <si>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</si>
  <si>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</si>
  <si>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</si>
  <si>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2013-09</t>
  </si>
  <si>
    <t xml:space="preserve">2013-10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</si>
  <si>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</si>
  <si>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</si>
  <si>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</si>
  <si>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</si>
  <si>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</si>
  <si>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</si>
  <si>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</si>
  <si>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</si>
  <si>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</si>
  <si>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</si>
  <si>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</si>
  <si>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</si>
  <si>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</si>
  <si>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</si>
  <si>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</si>
  <si>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</si>
  <si>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</si>
  <si>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</si>
  <si>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</si>
  <si>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</si>
  <si>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</si>
  <si>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</si>
  <si>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</si>
  <si>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</si>
  <si>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</si>
  <si>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</si>
  <si>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</si>
  <si>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</si>
  <si>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</si>
  <si>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</si>
  <si>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</si>
  <si>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</si>
  <si>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</si>
  <si>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</si>
  <si>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</si>
  <si>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</si>
  <si>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</si>
  <si>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</si>
  <si>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</si>
  <si>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</si>
  <si>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</si>
  <si>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</si>
  <si>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</si>
  <si>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</si>
  <si>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</si>
  <si>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</si>
  <si>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</si>
  <si>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</si>
  <si>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</si>
  <si>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</si>
  <si>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</si>
  <si>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</si>
  <si>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</si>
  <si>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</si>
  <si>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</si>
  <si>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</si>
  <si>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</si>
  <si>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</si>
  <si>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</si>
  <si>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</si>
  <si>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</si>
  <si>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</si>
  <si>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</si>
  <si>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</si>
  <si>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</si>
  <si>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</si>
  <si>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</si>
  <si>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</si>
  <si>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</si>
  <si>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</si>
  <si>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</si>
  <si>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</si>
  <si>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</si>
  <si>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</si>
  <si>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</si>
  <si>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</si>
  <si>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</si>
  <si>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</si>
  <si>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</si>
  <si>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</si>
  <si>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</si>
  <si>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</si>
  <si>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</si>
  <si>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</si>
  <si>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</si>
  <si>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</si>
  <si>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</si>
  <si>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</si>
  <si>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</si>
  <si>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</si>
  <si>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</si>
  <si>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</si>
  <si>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</si>
  <si>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</si>
  <si>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</si>
  <si>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</si>
  <si>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</si>
  <si>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</si>
  <si>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</si>
  <si>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</si>
  <si>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</si>
  <si>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</si>
  <si>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</si>
  <si>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</si>
  <si>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</si>
  <si>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</si>
  <si>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</si>
  <si>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</si>
  <si>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</si>
  <si>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</si>
  <si>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</si>
  <si>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</si>
  <si>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</si>
  <si>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</si>
  <si>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</si>
  <si>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</si>
  <si>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</si>
  <si>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</si>
  <si>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</si>
  <si>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</si>
  <si>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</si>
  <si>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</si>
  <si>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SUMMARY STATISTICS (2000–2023)</t>
  </si>
  <si>
    <t xml:space="preserve">Metric</t>
  </si>
  <si>
    <t xml:space="preserve">Low Vol</t>
  </si>
  <si>
    <t xml:space="preserve">High Vol</t>
  </si>
  <si>
    <t xml:space="preserve">Market</t>
  </si>
  <si>
    <t xml:space="preserve">Avg Monthly Return (%)</t>
  </si>
  <si>
    <t xml:space="preserve">Annualized Return (%)</t>
  </si>
  <si>
    <t xml:space="preserve">Std Dev Monthly (%)</t>
  </si>
  <si>
    <t xml:space="preserve">Annualized Std Dev (%)</t>
  </si>
  <si>
    <t xml:space="preserve">Sharpe Ratio</t>
  </si>
  <si>
    <t xml:space="preserve">Min Monthly Return (%)</t>
  </si>
  <si>
    <t xml:space="preserve">Max Monthly Return (%)</t>
  </si>
  <si>
    <t xml:space="preserve"># Positive Months</t>
  </si>
  <si>
    <t xml:space="preserve">CAPM REGRESSION — Excess Returns (2000–2023)</t>
  </si>
  <si>
    <t xml:space="preserve">Parameter</t>
  </si>
  <si>
    <t xml:space="preserve">Interpretation</t>
  </si>
  <si>
    <t xml:space="preserve">Alpha (monthly %)</t>
  </si>
  <si>
    <t xml:space="preserve">Monthly abnormal return vs. market</t>
  </si>
  <si>
    <t xml:space="preserve">Alpha (annualized %)</t>
  </si>
  <si>
    <t xml:space="preserve">Annualized abnormal return</t>
  </si>
  <si>
    <t xml:space="preserve">Beta</t>
  </si>
  <si>
    <t xml:space="preserve">Market sensitivity (Low Vol &lt; 1.0 by design)</t>
  </si>
  <si>
    <t xml:space="preserve">R-Squared</t>
  </si>
  <si>
    <t xml:space="preserve">% of variance explained by market</t>
  </si>
  <si>
    <t xml:space="preserve">SUBPERIOD ANALYSIS — Avg Monthly Return (%)</t>
  </si>
  <si>
    <t xml:space="preserve">Period</t>
  </si>
  <si>
    <t xml:space="preserve">2000–2007  Pre-Crisis</t>
  </si>
  <si>
    <t xml:space="preserve">2008–2009  Financial Crisis</t>
  </si>
  <si>
    <t xml:space="preserve">2010–2019  Bull Market</t>
  </si>
  <si>
    <t xml:space="preserve">2020–2023  COVID &amp; Recovery</t>
  </si>
  <si>
    <t xml:space="preserve">Full Period  2000–2023</t>
  </si>
  <si>
    <t xml:space="preserve">Low Vol (Start=100)</t>
  </si>
  <si>
    <t xml:space="preserve">High Vol (Start=100)</t>
  </si>
  <si>
    <t xml:space="preserve">Market (Start=100)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</si>
</sst>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15F6A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28090"/>
        <bgColor rgb="FF0066CC"/>
      </patternFill>
    </fill>
    <fill>
      <patternFill patternType="solid">
        <fgColor rgb="FFF0F5F5"/>
        <bgColor rgb="FFFFFFFF"/>
      </patternFill>
    </fill>
    <fill>
      <patternFill patternType="solid">
        <fgColor rgb="FFD0E8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090"/>
      <rgbColor rgb="FFBBBBBB"/>
      <rgbColor rgb="FF808080"/>
      <rgbColor rgb="FF9999FF"/>
      <rgbColor rgb="FF993366"/>
      <rgbColor rgb="FFF0F5F5"/>
      <rgbColor rgb="FFD0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15F6A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1.82</v>
      </c>
      <c r="C2" s="3" t="n">
        <v>-4.21</v>
      </c>
      <c r="D2" s="3" t="n">
        <v>-2.02</v>
      </c>
      <c r="E2" s="3" t="n">
        <v>0.43</v>
      </c>
    </row>
    <row r="3" customFormat="false" ht="15" hidden="false" customHeight="false" outlineLevel="0" collapsed="false">
      <c r="A3" s="4" t="s">
        <v>6</v>
      </c>
      <c r="B3" s="5" t="n">
        <v>2.14</v>
      </c>
      <c r="C3" s="5" t="n">
        <v>5.63</v>
      </c>
      <c r="D3" s="5" t="n">
        <v>1.88</v>
      </c>
      <c r="E3" s="5" t="n">
        <v>0.44</v>
      </c>
    </row>
    <row r="4" customFormat="false" ht="15" hidden="false" customHeight="false" outlineLevel="0" collapsed="false">
      <c r="A4" s="2" t="s">
        <v>7</v>
      </c>
      <c r="B4" s="3" t="n">
        <v>3.11</v>
      </c>
      <c r="C4" s="3" t="n">
        <v>7.84</v>
      </c>
      <c r="D4" s="3" t="n">
        <v>7.23</v>
      </c>
      <c r="E4" s="3" t="n">
        <v>0.48</v>
      </c>
    </row>
    <row r="5" customFormat="false" ht="15" hidden="false" customHeight="false" outlineLevel="0" collapsed="false">
      <c r="A5" s="4" t="s">
        <v>8</v>
      </c>
      <c r="B5" s="5" t="n">
        <v>-1.92</v>
      </c>
      <c r="C5" s="5" t="n">
        <v>-7.43</v>
      </c>
      <c r="D5" s="5" t="n">
        <v>-4.5</v>
      </c>
      <c r="E5" s="5" t="n">
        <v>0.48</v>
      </c>
    </row>
    <row r="6" customFormat="false" ht="15" hidden="false" customHeight="false" outlineLevel="0" collapsed="false">
      <c r="A6" s="2" t="s">
        <v>9</v>
      </c>
      <c r="B6" s="3" t="n">
        <v>-1.44</v>
      </c>
      <c r="C6" s="3" t="n">
        <v>-6.23</v>
      </c>
      <c r="D6" s="3" t="n">
        <v>-3.87</v>
      </c>
      <c r="E6" s="3" t="n">
        <v>0.5</v>
      </c>
    </row>
    <row r="7" customFormat="false" ht="15" hidden="false" customHeight="false" outlineLevel="0" collapsed="false">
      <c r="A7" s="4" t="s">
        <v>10</v>
      </c>
      <c r="B7" s="5" t="n">
        <v>1.87</v>
      </c>
      <c r="C7" s="5" t="n">
        <v>3.12</v>
      </c>
      <c r="D7" s="5" t="n">
        <v>3.01</v>
      </c>
      <c r="E7" s="5" t="n">
        <v>0.49</v>
      </c>
    </row>
    <row r="8" customFormat="false" ht="15" hidden="false" customHeight="false" outlineLevel="0" collapsed="false">
      <c r="A8" s="2" t="s">
        <v>11</v>
      </c>
      <c r="B8" s="3" t="n">
        <v>0.43</v>
      </c>
      <c r="C8" s="3" t="n">
        <v>-2.84</v>
      </c>
      <c r="D8" s="3" t="n">
        <v>-1.1</v>
      </c>
      <c r="E8" s="3" t="n">
        <v>0.5</v>
      </c>
    </row>
    <row r="9" customFormat="false" ht="15" hidden="false" customHeight="false" outlineLevel="0" collapsed="false">
      <c r="A9" s="4" t="s">
        <v>12</v>
      </c>
      <c r="B9" s="5" t="n">
        <v>2.91</v>
      </c>
      <c r="C9" s="5" t="n">
        <v>7.34</v>
      </c>
      <c r="D9" s="5" t="n">
        <v>5.8</v>
      </c>
      <c r="E9" s="5" t="n">
        <v>0.51</v>
      </c>
    </row>
    <row r="10" customFormat="false" ht="15" hidden="false" customHeight="false" outlineLevel="0" collapsed="false">
      <c r="A10" s="2" t="s">
        <v>13</v>
      </c>
      <c r="B10" s="3" t="n">
        <v>-1.34</v>
      </c>
      <c r="C10" s="3" t="n">
        <v>-7.23</v>
      </c>
      <c r="D10" s="3" t="n">
        <v>-4.2</v>
      </c>
      <c r="E10" s="3" t="n">
        <v>0.52</v>
      </c>
    </row>
    <row r="11" customFormat="false" ht="15" hidden="false" customHeight="false" outlineLevel="0" collapsed="false">
      <c r="A11" s="4" t="s">
        <v>14</v>
      </c>
      <c r="B11" s="5" t="n">
        <v>-0.87</v>
      </c>
      <c r="C11" s="5" t="n">
        <v>-4.12</v>
      </c>
      <c r="D11" s="5" t="n">
        <v>-2.4</v>
      </c>
      <c r="E11" s="5" t="n">
        <v>0.52</v>
      </c>
    </row>
    <row r="12" customFormat="false" ht="15" hidden="false" customHeight="false" outlineLevel="0" collapsed="false">
      <c r="A12" s="2" t="s">
        <v>15</v>
      </c>
      <c r="B12" s="3" t="n">
        <v>0.94</v>
      </c>
      <c r="C12" s="3" t="n">
        <v>-9.34</v>
      </c>
      <c r="D12" s="3" t="n">
        <v>-5.5</v>
      </c>
      <c r="E12" s="3" t="n">
        <v>0.51</v>
      </c>
    </row>
    <row r="13" customFormat="false" ht="15" hidden="false" customHeight="false" outlineLevel="0" collapsed="false">
      <c r="A13" s="4" t="s">
        <v>16</v>
      </c>
      <c r="B13" s="5" t="n">
        <v>1.43</v>
      </c>
      <c r="C13" s="5" t="n">
        <v>-4.87</v>
      </c>
      <c r="D13" s="5" t="n">
        <v>-2.9</v>
      </c>
      <c r="E13" s="5" t="n">
        <v>0.5</v>
      </c>
    </row>
    <row r="14" customFormat="false" ht="15" hidden="false" customHeight="false" outlineLevel="0" collapsed="false">
      <c r="A14" s="2" t="s">
        <v>17</v>
      </c>
      <c r="B14" s="3" t="n">
        <v>2.34</v>
      </c>
      <c r="C14" s="3" t="n">
        <v>5.12</v>
      </c>
      <c r="D14" s="3" t="n">
        <v>4</v>
      </c>
      <c r="E14" s="3" t="n">
        <v>0.45</v>
      </c>
    </row>
    <row r="15" customFormat="false" ht="15" hidden="false" customHeight="false" outlineLevel="0" collapsed="false">
      <c r="A15" s="4" t="s">
        <v>18</v>
      </c>
      <c r="B15" s="5" t="n">
        <v>-1.87</v>
      </c>
      <c r="C15" s="5" t="n">
        <v>-12.34</v>
      </c>
      <c r="D15" s="5" t="n">
        <v>-7.5</v>
      </c>
      <c r="E15" s="5" t="n">
        <v>0.43</v>
      </c>
    </row>
    <row r="16" customFormat="false" ht="15" hidden="false" customHeight="false" outlineLevel="0" collapsed="false">
      <c r="A16" s="2" t="s">
        <v>19</v>
      </c>
      <c r="B16" s="3" t="n">
        <v>-2.43</v>
      </c>
      <c r="C16" s="3" t="n">
        <v>-8.91</v>
      </c>
      <c r="D16" s="3" t="n">
        <v>-5.5</v>
      </c>
      <c r="E16" s="3" t="n">
        <v>0.4</v>
      </c>
    </row>
    <row r="17" customFormat="false" ht="15" hidden="false" customHeight="false" outlineLevel="0" collapsed="false">
      <c r="A17" s="4" t="s">
        <v>20</v>
      </c>
      <c r="B17" s="5" t="n">
        <v>3.87</v>
      </c>
      <c r="C17" s="5" t="n">
        <v>10.23</v>
      </c>
      <c r="D17" s="5" t="n">
        <v>7</v>
      </c>
      <c r="E17" s="5" t="n">
        <v>0.36</v>
      </c>
    </row>
    <row r="18" customFormat="false" ht="15" hidden="false" customHeight="false" outlineLevel="0" collapsed="false">
      <c r="A18" s="2" t="s">
        <v>21</v>
      </c>
      <c r="B18" s="3" t="n">
        <v>0.43</v>
      </c>
      <c r="C18" s="3" t="n">
        <v>0.84</v>
      </c>
      <c r="D18" s="3" t="n">
        <v>0.6</v>
      </c>
      <c r="E18" s="3" t="n">
        <v>0.32</v>
      </c>
    </row>
    <row r="19" customFormat="false" ht="15" hidden="false" customHeight="false" outlineLevel="0" collapsed="false">
      <c r="A19" s="4" t="s">
        <v>22</v>
      </c>
      <c r="B19" s="5" t="n">
        <v>-1.34</v>
      </c>
      <c r="C19" s="5" t="n">
        <v>-3.87</v>
      </c>
      <c r="D19" s="5" t="n">
        <v>-2.6</v>
      </c>
      <c r="E19" s="5" t="n">
        <v>0.3</v>
      </c>
    </row>
    <row r="20" customFormat="false" ht="15" hidden="false" customHeight="false" outlineLevel="0" collapsed="false">
      <c r="A20" s="2" t="s">
        <v>23</v>
      </c>
      <c r="B20" s="3" t="n">
        <v>-0.84</v>
      </c>
      <c r="C20" s="3" t="n">
        <v>-2.13</v>
      </c>
      <c r="D20" s="3" t="n">
        <v>-1.4</v>
      </c>
      <c r="E20" s="3" t="n">
        <v>0.29</v>
      </c>
    </row>
    <row r="21" customFormat="false" ht="15" hidden="false" customHeight="false" outlineLevel="0" collapsed="false">
      <c r="A21" s="4" t="s">
        <v>24</v>
      </c>
      <c r="B21" s="5" t="n">
        <v>-2.87</v>
      </c>
      <c r="C21" s="5" t="n">
        <v>-8.91</v>
      </c>
      <c r="D21" s="5" t="n">
        <v>-5.8</v>
      </c>
      <c r="E21" s="5" t="n">
        <v>0.29</v>
      </c>
    </row>
    <row r="22" customFormat="false" ht="15" hidden="false" customHeight="false" outlineLevel="0" collapsed="false">
      <c r="A22" s="2" t="s">
        <v>25</v>
      </c>
      <c r="B22" s="3" t="n">
        <v>-4.12</v>
      </c>
      <c r="C22" s="3" t="n">
        <v>-17.43</v>
      </c>
      <c r="D22" s="3" t="n">
        <v>-10.9</v>
      </c>
      <c r="E22" s="3" t="n">
        <v>0.25</v>
      </c>
    </row>
    <row r="23" customFormat="false" ht="15" hidden="false" customHeight="false" outlineLevel="0" collapsed="false">
      <c r="A23" s="4" t="s">
        <v>26</v>
      </c>
      <c r="B23" s="5" t="n">
        <v>1.34</v>
      </c>
      <c r="C23" s="5" t="n">
        <v>3.12</v>
      </c>
      <c r="D23" s="5" t="n">
        <v>2.2</v>
      </c>
      <c r="E23" s="5" t="n">
        <v>0.2</v>
      </c>
    </row>
    <row r="24" customFormat="false" ht="15" hidden="false" customHeight="false" outlineLevel="0" collapsed="false">
      <c r="A24" s="2" t="s">
        <v>27</v>
      </c>
      <c r="B24" s="3" t="n">
        <v>4.23</v>
      </c>
      <c r="C24" s="3" t="n">
        <v>9.87</v>
      </c>
      <c r="D24" s="3" t="n">
        <v>7</v>
      </c>
      <c r="E24" s="3" t="n">
        <v>0.18</v>
      </c>
    </row>
    <row r="25" customFormat="false" ht="15" hidden="false" customHeight="false" outlineLevel="0" collapsed="false">
      <c r="A25" s="4" t="s">
        <v>28</v>
      </c>
      <c r="B25" s="5" t="n">
        <v>0.87</v>
      </c>
      <c r="C25" s="5" t="n">
        <v>1.23</v>
      </c>
      <c r="D25" s="5" t="n">
        <v>0.9</v>
      </c>
      <c r="E25" s="5" t="n">
        <v>0.17</v>
      </c>
    </row>
    <row r="26" customFormat="false" ht="15" hidden="false" customHeight="false" outlineLevel="0" collapsed="false">
      <c r="A26" s="2" t="s">
        <v>29</v>
      </c>
      <c r="B26" s="3" t="n">
        <v>-0.94</v>
      </c>
      <c r="C26" s="3" t="n">
        <v>-2.13</v>
      </c>
      <c r="D26" s="3" t="n">
        <v>-1.5</v>
      </c>
      <c r="E26" s="3" t="n">
        <v>0.16</v>
      </c>
    </row>
    <row r="27" customFormat="false" ht="15" hidden="false" customHeight="false" outlineLevel="0" collapsed="false">
      <c r="A27" s="4" t="s">
        <v>30</v>
      </c>
      <c r="B27" s="5" t="n">
        <v>-1.12</v>
      </c>
      <c r="C27" s="5" t="n">
        <v>-2.87</v>
      </c>
      <c r="D27" s="5" t="n">
        <v>-1.9</v>
      </c>
      <c r="E27" s="5" t="n">
        <v>0.15</v>
      </c>
    </row>
    <row r="28" customFormat="false" ht="15" hidden="false" customHeight="false" outlineLevel="0" collapsed="false">
      <c r="A28" s="2" t="s">
        <v>31</v>
      </c>
      <c r="B28" s="3" t="n">
        <v>1.94</v>
      </c>
      <c r="C28" s="3" t="n">
        <v>5.12</v>
      </c>
      <c r="D28" s="3" t="n">
        <v>3.7</v>
      </c>
      <c r="E28" s="3" t="n">
        <v>0.14</v>
      </c>
    </row>
    <row r="29" customFormat="false" ht="15" hidden="false" customHeight="false" outlineLevel="0" collapsed="false">
      <c r="A29" s="4" t="s">
        <v>32</v>
      </c>
      <c r="B29" s="5" t="n">
        <v>-3.43</v>
      </c>
      <c r="C29" s="5" t="n">
        <v>-8.91</v>
      </c>
      <c r="D29" s="5" t="n">
        <v>-6</v>
      </c>
      <c r="E29" s="5" t="n">
        <v>0.14</v>
      </c>
    </row>
    <row r="30" customFormat="false" ht="15" hidden="false" customHeight="false" outlineLevel="0" collapsed="false">
      <c r="A30" s="2" t="s">
        <v>33</v>
      </c>
      <c r="B30" s="3" t="n">
        <v>-0.43</v>
      </c>
      <c r="C30" s="3" t="n">
        <v>-1.23</v>
      </c>
      <c r="D30" s="3" t="n">
        <v>-0.7</v>
      </c>
      <c r="E30" s="3" t="n">
        <v>0.14</v>
      </c>
    </row>
    <row r="31" customFormat="false" ht="15" hidden="false" customHeight="false" outlineLevel="0" collapsed="false">
      <c r="A31" s="4" t="s">
        <v>34</v>
      </c>
      <c r="B31" s="5" t="n">
        <v>-3.87</v>
      </c>
      <c r="C31" s="5" t="n">
        <v>-10.23</v>
      </c>
      <c r="D31" s="5" t="n">
        <v>-7</v>
      </c>
      <c r="E31" s="5" t="n">
        <v>0.14</v>
      </c>
    </row>
    <row r="32" customFormat="false" ht="15" hidden="false" customHeight="false" outlineLevel="0" collapsed="false">
      <c r="A32" s="2" t="s">
        <v>35</v>
      </c>
      <c r="B32" s="3" t="n">
        <v>-4.12</v>
      </c>
      <c r="C32" s="3" t="n">
        <v>-13.43</v>
      </c>
      <c r="D32" s="3" t="n">
        <v>-8.8</v>
      </c>
      <c r="E32" s="3" t="n">
        <v>0.14</v>
      </c>
    </row>
    <row r="33" customFormat="false" ht="15" hidden="false" customHeight="false" outlineLevel="0" collapsed="false">
      <c r="A33" s="4" t="s">
        <v>36</v>
      </c>
      <c r="B33" s="5" t="n">
        <v>0.23</v>
      </c>
      <c r="C33" s="5" t="n">
        <v>0.87</v>
      </c>
      <c r="D33" s="5" t="n">
        <v>0.5</v>
      </c>
      <c r="E33" s="5" t="n">
        <v>0.14</v>
      </c>
    </row>
    <row r="34" customFormat="false" ht="15" hidden="false" customHeight="false" outlineLevel="0" collapsed="false">
      <c r="A34" s="2" t="s">
        <v>37</v>
      </c>
      <c r="B34" s="3" t="n">
        <v>-5.23</v>
      </c>
      <c r="C34" s="3" t="n">
        <v>-16.87</v>
      </c>
      <c r="D34" s="3" t="n">
        <v>-10.9</v>
      </c>
      <c r="E34" s="3" t="n">
        <v>0.14</v>
      </c>
    </row>
    <row r="35" customFormat="false" ht="15" hidden="false" customHeight="false" outlineLevel="0" collapsed="false">
      <c r="A35" s="4" t="s">
        <v>38</v>
      </c>
      <c r="B35" s="5" t="n">
        <v>4.87</v>
      </c>
      <c r="C35" s="5" t="n">
        <v>12.34</v>
      </c>
      <c r="D35" s="5" t="n">
        <v>8.8</v>
      </c>
      <c r="E35" s="5" t="n">
        <v>0.14</v>
      </c>
    </row>
    <row r="36" customFormat="false" ht="15" hidden="false" customHeight="false" outlineLevel="0" collapsed="false">
      <c r="A36" s="2" t="s">
        <v>39</v>
      </c>
      <c r="B36" s="3" t="n">
        <v>3.12</v>
      </c>
      <c r="C36" s="3" t="n">
        <v>8.43</v>
      </c>
      <c r="D36" s="3" t="n">
        <v>5.9</v>
      </c>
      <c r="E36" s="3" t="n">
        <v>0.12</v>
      </c>
    </row>
    <row r="37" customFormat="false" ht="15" hidden="false" customHeight="false" outlineLevel="0" collapsed="false">
      <c r="A37" s="4" t="s">
        <v>40</v>
      </c>
      <c r="B37" s="5" t="n">
        <v>-2.87</v>
      </c>
      <c r="C37" s="5" t="n">
        <v>-8.12</v>
      </c>
      <c r="D37" s="5" t="n">
        <v>-5.9</v>
      </c>
      <c r="E37" s="5" t="n">
        <v>0.11</v>
      </c>
    </row>
    <row r="38" customFormat="false" ht="15" hidden="false" customHeight="false" outlineLevel="0" collapsed="false">
      <c r="A38" s="2" t="s">
        <v>41</v>
      </c>
      <c r="B38" s="3" t="n">
        <v>-1.43</v>
      </c>
      <c r="C38" s="3" t="n">
        <v>-3.87</v>
      </c>
      <c r="D38" s="3" t="n">
        <v>-2.8</v>
      </c>
      <c r="E38" s="3" t="n">
        <v>0.1</v>
      </c>
    </row>
    <row r="39" customFormat="false" ht="15" hidden="false" customHeight="false" outlineLevel="0" collapsed="false">
      <c r="A39" s="4" t="s">
        <v>42</v>
      </c>
      <c r="B39" s="5" t="n">
        <v>-0.87</v>
      </c>
      <c r="C39" s="5" t="n">
        <v>-2.34</v>
      </c>
      <c r="D39" s="5" t="n">
        <v>-1.7</v>
      </c>
      <c r="E39" s="5" t="n">
        <v>0.1</v>
      </c>
    </row>
    <row r="40" customFormat="false" ht="15" hidden="false" customHeight="false" outlineLevel="0" collapsed="false">
      <c r="A40" s="2" t="s">
        <v>43</v>
      </c>
      <c r="B40" s="3" t="n">
        <v>-0.62</v>
      </c>
      <c r="C40" s="3" t="n">
        <v>-1.87</v>
      </c>
      <c r="D40" s="3" t="n">
        <v>-1.2</v>
      </c>
      <c r="E40" s="3" t="n">
        <v>0.1</v>
      </c>
    </row>
    <row r="41" customFormat="false" ht="15" hidden="false" customHeight="false" outlineLevel="0" collapsed="false">
      <c r="A41" s="4" t="s">
        <v>44</v>
      </c>
      <c r="B41" s="5" t="n">
        <v>4.34</v>
      </c>
      <c r="C41" s="5" t="n">
        <v>11.23</v>
      </c>
      <c r="D41" s="5" t="n">
        <v>8.3</v>
      </c>
      <c r="E41" s="5" t="n">
        <v>0.1</v>
      </c>
    </row>
    <row r="42" customFormat="false" ht="15" hidden="false" customHeight="false" outlineLevel="0" collapsed="false">
      <c r="A42" s="2" t="s">
        <v>45</v>
      </c>
      <c r="B42" s="3" t="n">
        <v>2.87</v>
      </c>
      <c r="C42" s="3" t="n">
        <v>7.43</v>
      </c>
      <c r="D42" s="3" t="n">
        <v>5.2</v>
      </c>
      <c r="E42" s="3" t="n">
        <v>0.1</v>
      </c>
    </row>
    <row r="43" customFormat="false" ht="15" hidden="false" customHeight="false" outlineLevel="0" collapsed="false">
      <c r="A43" s="4" t="s">
        <v>46</v>
      </c>
      <c r="B43" s="5" t="n">
        <v>0.84</v>
      </c>
      <c r="C43" s="5" t="n">
        <v>1.87</v>
      </c>
      <c r="D43" s="5" t="n">
        <v>1.4</v>
      </c>
      <c r="E43" s="5" t="n">
        <v>0.08</v>
      </c>
    </row>
    <row r="44" customFormat="false" ht="15" hidden="false" customHeight="false" outlineLevel="0" collapsed="false">
      <c r="A44" s="2" t="s">
        <v>47</v>
      </c>
      <c r="B44" s="3" t="n">
        <v>1.12</v>
      </c>
      <c r="C44" s="3" t="n">
        <v>2.87</v>
      </c>
      <c r="D44" s="3" t="n">
        <v>2</v>
      </c>
      <c r="E44" s="3" t="n">
        <v>0.08</v>
      </c>
    </row>
    <row r="45" customFormat="false" ht="15" hidden="false" customHeight="false" outlineLevel="0" collapsed="false">
      <c r="A45" s="4" t="s">
        <v>48</v>
      </c>
      <c r="B45" s="5" t="n">
        <v>1.23</v>
      </c>
      <c r="C45" s="5" t="n">
        <v>2.87</v>
      </c>
      <c r="D45" s="5" t="n">
        <v>2</v>
      </c>
      <c r="E45" s="5" t="n">
        <v>0.08</v>
      </c>
    </row>
    <row r="46" customFormat="false" ht="15" hidden="false" customHeight="false" outlineLevel="0" collapsed="false">
      <c r="A46" s="2" t="s">
        <v>49</v>
      </c>
      <c r="B46" s="3" t="n">
        <v>-0.62</v>
      </c>
      <c r="C46" s="3" t="n">
        <v>-1.54</v>
      </c>
      <c r="D46" s="3" t="n">
        <v>-1.1</v>
      </c>
      <c r="E46" s="3" t="n">
        <v>0.08</v>
      </c>
    </row>
    <row r="47" customFormat="false" ht="15" hidden="false" customHeight="false" outlineLevel="0" collapsed="false">
      <c r="A47" s="4" t="s">
        <v>50</v>
      </c>
      <c r="B47" s="5" t="n">
        <v>3.12</v>
      </c>
      <c r="C47" s="5" t="n">
        <v>7.43</v>
      </c>
      <c r="D47" s="5" t="n">
        <v>5.6</v>
      </c>
      <c r="E47" s="5" t="n">
        <v>0.08</v>
      </c>
    </row>
    <row r="48" customFormat="false" ht="15" hidden="false" customHeight="false" outlineLevel="0" collapsed="false">
      <c r="A48" s="2" t="s">
        <v>51</v>
      </c>
      <c r="B48" s="3" t="n">
        <v>0.62</v>
      </c>
      <c r="C48" s="3" t="n">
        <v>1.23</v>
      </c>
      <c r="D48" s="3" t="n">
        <v>0.9</v>
      </c>
      <c r="E48" s="3" t="n">
        <v>0.08</v>
      </c>
    </row>
    <row r="49" customFormat="false" ht="15" hidden="false" customHeight="false" outlineLevel="0" collapsed="false">
      <c r="A49" s="4" t="s">
        <v>52</v>
      </c>
      <c r="B49" s="5" t="n">
        <v>2.87</v>
      </c>
      <c r="C49" s="5" t="n">
        <v>6.87</v>
      </c>
      <c r="D49" s="5" t="n">
        <v>5.2</v>
      </c>
      <c r="E49" s="5" t="n">
        <v>0.08</v>
      </c>
    </row>
    <row r="50" customFormat="false" ht="15" hidden="false" customHeight="false" outlineLevel="0" collapsed="false">
      <c r="A50" s="2" t="s">
        <v>53</v>
      </c>
      <c r="B50" s="3" t="n">
        <v>1.12</v>
      </c>
      <c r="C50" s="3" t="n">
        <v>2.43</v>
      </c>
      <c r="D50" s="3" t="n">
        <v>2</v>
      </c>
      <c r="E50" s="3" t="n">
        <v>0.08</v>
      </c>
    </row>
    <row r="51" customFormat="false" ht="15" hidden="false" customHeight="false" outlineLevel="0" collapsed="false">
      <c r="A51" s="4" t="s">
        <v>54</v>
      </c>
      <c r="B51" s="5" t="n">
        <v>0.87</v>
      </c>
      <c r="C51" s="5" t="n">
        <v>2.12</v>
      </c>
      <c r="D51" s="5" t="n">
        <v>1.6</v>
      </c>
      <c r="E51" s="5" t="n">
        <v>0.08</v>
      </c>
    </row>
    <row r="52" customFormat="false" ht="15" hidden="false" customHeight="false" outlineLevel="0" collapsed="false">
      <c r="A52" s="2" t="s">
        <v>55</v>
      </c>
      <c r="B52" s="3" t="n">
        <v>-0.87</v>
      </c>
      <c r="C52" s="3" t="n">
        <v>-2.12</v>
      </c>
      <c r="D52" s="3" t="n">
        <v>-1.5</v>
      </c>
      <c r="E52" s="3" t="n">
        <v>0.08</v>
      </c>
    </row>
    <row r="53" customFormat="false" ht="15" hidden="false" customHeight="false" outlineLevel="0" collapsed="false">
      <c r="A53" s="4" t="s">
        <v>56</v>
      </c>
      <c r="B53" s="5" t="n">
        <v>-0.94</v>
      </c>
      <c r="C53" s="5" t="n">
        <v>-2.34</v>
      </c>
      <c r="D53" s="5" t="n">
        <v>-1.7</v>
      </c>
      <c r="E53" s="5" t="n">
        <v>0.08</v>
      </c>
    </row>
    <row r="54" customFormat="false" ht="15" hidden="false" customHeight="false" outlineLevel="0" collapsed="false">
      <c r="A54" s="2" t="s">
        <v>57</v>
      </c>
      <c r="B54" s="3" t="n">
        <v>0.76</v>
      </c>
      <c r="C54" s="3" t="n">
        <v>1.87</v>
      </c>
      <c r="D54" s="3" t="n">
        <v>1.4</v>
      </c>
      <c r="E54" s="3" t="n">
        <v>0.08</v>
      </c>
    </row>
    <row r="55" customFormat="false" ht="15" hidden="false" customHeight="false" outlineLevel="0" collapsed="false">
      <c r="A55" s="4" t="s">
        <v>58</v>
      </c>
      <c r="B55" s="5" t="n">
        <v>1.12</v>
      </c>
      <c r="C55" s="5" t="n">
        <v>2.43</v>
      </c>
      <c r="D55" s="5" t="n">
        <v>1.9</v>
      </c>
      <c r="E55" s="5" t="n">
        <v>0.09</v>
      </c>
    </row>
    <row r="56" customFormat="false" ht="15" hidden="false" customHeight="false" outlineLevel="0" collapsed="false">
      <c r="A56" s="2" t="s">
        <v>59</v>
      </c>
      <c r="B56" s="3" t="n">
        <v>-1.87</v>
      </c>
      <c r="C56" s="3" t="n">
        <v>-4.43</v>
      </c>
      <c r="D56" s="3" t="n">
        <v>-3.3</v>
      </c>
      <c r="E56" s="3" t="n">
        <v>0.11</v>
      </c>
    </row>
    <row r="57" customFormat="false" ht="15" hidden="false" customHeight="false" outlineLevel="0" collapsed="false">
      <c r="A57" s="4" t="s">
        <v>60</v>
      </c>
      <c r="B57" s="5" t="n">
        <v>0.34</v>
      </c>
      <c r="C57" s="5" t="n">
        <v>0.62</v>
      </c>
      <c r="D57" s="5" t="n">
        <v>0.4</v>
      </c>
      <c r="E57" s="5" t="n">
        <v>0.12</v>
      </c>
    </row>
    <row r="58" customFormat="false" ht="15" hidden="false" customHeight="false" outlineLevel="0" collapsed="false">
      <c r="A58" s="2" t="s">
        <v>61</v>
      </c>
      <c r="B58" s="3" t="n">
        <v>0.62</v>
      </c>
      <c r="C58" s="3" t="n">
        <v>1.43</v>
      </c>
      <c r="D58" s="3" t="n">
        <v>1.1</v>
      </c>
      <c r="E58" s="3" t="n">
        <v>0.14</v>
      </c>
    </row>
    <row r="59" customFormat="false" ht="15" hidden="false" customHeight="false" outlineLevel="0" collapsed="false">
      <c r="A59" s="4" t="s">
        <v>62</v>
      </c>
      <c r="B59" s="5" t="n">
        <v>0.87</v>
      </c>
      <c r="C59" s="5" t="n">
        <v>1.94</v>
      </c>
      <c r="D59" s="5" t="n">
        <v>1.5</v>
      </c>
      <c r="E59" s="5" t="n">
        <v>0.16</v>
      </c>
    </row>
    <row r="60" customFormat="false" ht="15" hidden="false" customHeight="false" outlineLevel="0" collapsed="false">
      <c r="A60" s="2" t="s">
        <v>63</v>
      </c>
      <c r="B60" s="3" t="n">
        <v>2.23</v>
      </c>
      <c r="C60" s="3" t="n">
        <v>5.43</v>
      </c>
      <c r="D60" s="3" t="n">
        <v>4.1</v>
      </c>
      <c r="E60" s="3" t="n">
        <v>0.18</v>
      </c>
    </row>
    <row r="61" customFormat="false" ht="15" hidden="false" customHeight="false" outlineLevel="0" collapsed="false">
      <c r="A61" s="4" t="s">
        <v>64</v>
      </c>
      <c r="B61" s="5" t="n">
        <v>1.94</v>
      </c>
      <c r="C61" s="5" t="n">
        <v>4.12</v>
      </c>
      <c r="D61" s="5" t="n">
        <v>3.4</v>
      </c>
      <c r="E61" s="5" t="n">
        <v>0.19</v>
      </c>
    </row>
    <row r="62" customFormat="false" ht="15" hidden="false" customHeight="false" outlineLevel="0" collapsed="false">
      <c r="A62" s="2" t="s">
        <v>65</v>
      </c>
      <c r="B62" s="3" t="n">
        <v>-1.34</v>
      </c>
      <c r="C62" s="3" t="n">
        <v>-3.12</v>
      </c>
      <c r="D62" s="3" t="n">
        <v>-2.4</v>
      </c>
      <c r="E62" s="3" t="n">
        <v>0.19</v>
      </c>
    </row>
    <row r="63" customFormat="false" ht="15" hidden="false" customHeight="false" outlineLevel="0" collapsed="false">
      <c r="A63" s="4" t="s">
        <v>66</v>
      </c>
      <c r="B63" s="5" t="n">
        <v>1.12</v>
      </c>
      <c r="C63" s="5" t="n">
        <v>2.67</v>
      </c>
      <c r="D63" s="5" t="n">
        <v>2</v>
      </c>
      <c r="E63" s="5" t="n">
        <v>0.21</v>
      </c>
    </row>
    <row r="64" customFormat="false" ht="15" hidden="false" customHeight="false" outlineLevel="0" collapsed="false">
      <c r="A64" s="2" t="s">
        <v>67</v>
      </c>
      <c r="B64" s="3" t="n">
        <v>-1.02</v>
      </c>
      <c r="C64" s="3" t="n">
        <v>-2.43</v>
      </c>
      <c r="D64" s="3" t="n">
        <v>-1.9</v>
      </c>
      <c r="E64" s="3" t="n">
        <v>0.23</v>
      </c>
    </row>
    <row r="65" customFormat="false" ht="15" hidden="false" customHeight="false" outlineLevel="0" collapsed="false">
      <c r="A65" s="4" t="s">
        <v>68</v>
      </c>
      <c r="B65" s="5" t="n">
        <v>-1.12</v>
      </c>
      <c r="C65" s="5" t="n">
        <v>-2.67</v>
      </c>
      <c r="D65" s="5" t="n">
        <v>-2</v>
      </c>
      <c r="E65" s="5" t="n">
        <v>0.25</v>
      </c>
    </row>
    <row r="66" customFormat="false" ht="15" hidden="false" customHeight="false" outlineLevel="0" collapsed="false">
      <c r="A66" s="2" t="s">
        <v>69</v>
      </c>
      <c r="B66" s="3" t="n">
        <v>1.73</v>
      </c>
      <c r="C66" s="3" t="n">
        <v>4.12</v>
      </c>
      <c r="D66" s="3" t="n">
        <v>3.1</v>
      </c>
      <c r="E66" s="3" t="n">
        <v>0.26</v>
      </c>
    </row>
    <row r="67" customFormat="false" ht="15" hidden="false" customHeight="false" outlineLevel="0" collapsed="false">
      <c r="A67" s="4" t="s">
        <v>70</v>
      </c>
      <c r="B67" s="5" t="n">
        <v>0.12</v>
      </c>
      <c r="C67" s="5" t="n">
        <v>0.23</v>
      </c>
      <c r="D67" s="5" t="n">
        <v>0.1</v>
      </c>
      <c r="E67" s="5" t="n">
        <v>0.28</v>
      </c>
    </row>
    <row r="68" customFormat="false" ht="15" hidden="false" customHeight="false" outlineLevel="0" collapsed="false">
      <c r="A68" s="2" t="s">
        <v>71</v>
      </c>
      <c r="B68" s="3" t="n">
        <v>2.12</v>
      </c>
      <c r="C68" s="3" t="n">
        <v>5.12</v>
      </c>
      <c r="D68" s="3" t="n">
        <v>3.8</v>
      </c>
      <c r="E68" s="3" t="n">
        <v>0.29</v>
      </c>
    </row>
    <row r="69" customFormat="false" ht="15" hidden="false" customHeight="false" outlineLevel="0" collapsed="false">
      <c r="A69" s="4" t="s">
        <v>72</v>
      </c>
      <c r="B69" s="5" t="n">
        <v>-0.62</v>
      </c>
      <c r="C69" s="5" t="n">
        <v>-1.34</v>
      </c>
      <c r="D69" s="5" t="n">
        <v>-1</v>
      </c>
      <c r="E69" s="5" t="n">
        <v>0.3</v>
      </c>
    </row>
    <row r="70" customFormat="false" ht="15" hidden="false" customHeight="false" outlineLevel="0" collapsed="false">
      <c r="A70" s="2" t="s">
        <v>73</v>
      </c>
      <c r="B70" s="3" t="n">
        <v>0.54</v>
      </c>
      <c r="C70" s="3" t="n">
        <v>1.23</v>
      </c>
      <c r="D70" s="3" t="n">
        <v>0.9</v>
      </c>
      <c r="E70" s="3" t="n">
        <v>0.31</v>
      </c>
    </row>
    <row r="71" customFormat="false" ht="15" hidden="false" customHeight="false" outlineLevel="0" collapsed="false">
      <c r="A71" s="4" t="s">
        <v>74</v>
      </c>
      <c r="B71" s="5" t="n">
        <v>-0.94</v>
      </c>
      <c r="C71" s="5" t="n">
        <v>-2.34</v>
      </c>
      <c r="D71" s="5" t="n">
        <v>-1.8</v>
      </c>
      <c r="E71" s="5" t="n">
        <v>0.33</v>
      </c>
    </row>
    <row r="72" customFormat="false" ht="15" hidden="false" customHeight="false" outlineLevel="0" collapsed="false">
      <c r="A72" s="2" t="s">
        <v>75</v>
      </c>
      <c r="B72" s="3" t="n">
        <v>1.87</v>
      </c>
      <c r="C72" s="3" t="n">
        <v>4.62</v>
      </c>
      <c r="D72" s="3" t="n">
        <v>3.6</v>
      </c>
      <c r="E72" s="3" t="n">
        <v>0.35</v>
      </c>
    </row>
    <row r="73" customFormat="false" ht="15" hidden="false" customHeight="false" outlineLevel="0" collapsed="false">
      <c r="A73" s="4" t="s">
        <v>76</v>
      </c>
      <c r="B73" s="5" t="n">
        <v>0.12</v>
      </c>
      <c r="C73" s="5" t="n">
        <v>0.23</v>
      </c>
      <c r="D73" s="5" t="n">
        <v>0</v>
      </c>
      <c r="E73" s="5" t="n">
        <v>0.36</v>
      </c>
    </row>
    <row r="74" customFormat="false" ht="15" hidden="false" customHeight="false" outlineLevel="0" collapsed="false">
      <c r="A74" s="2" t="s">
        <v>77</v>
      </c>
      <c r="B74" s="3" t="n">
        <v>1.43</v>
      </c>
      <c r="C74" s="3" t="n">
        <v>3.43</v>
      </c>
      <c r="D74" s="3" t="n">
        <v>2.7</v>
      </c>
      <c r="E74" s="3" t="n">
        <v>0.37</v>
      </c>
    </row>
    <row r="75" customFormat="false" ht="15" hidden="false" customHeight="false" outlineLevel="0" collapsed="false">
      <c r="A75" s="4" t="s">
        <v>78</v>
      </c>
      <c r="B75" s="5" t="n">
        <v>0.23</v>
      </c>
      <c r="C75" s="5" t="n">
        <v>0.54</v>
      </c>
      <c r="D75" s="5" t="n">
        <v>0.3</v>
      </c>
      <c r="E75" s="5" t="n">
        <v>0.38</v>
      </c>
    </row>
    <row r="76" customFormat="false" ht="15" hidden="false" customHeight="false" outlineLevel="0" collapsed="false">
      <c r="A76" s="2" t="s">
        <v>79</v>
      </c>
      <c r="B76" s="3" t="n">
        <v>0.76</v>
      </c>
      <c r="C76" s="3" t="n">
        <v>1.73</v>
      </c>
      <c r="D76" s="3" t="n">
        <v>1.3</v>
      </c>
      <c r="E76" s="3" t="n">
        <v>0.39</v>
      </c>
    </row>
    <row r="77" customFormat="false" ht="15" hidden="false" customHeight="false" outlineLevel="0" collapsed="false">
      <c r="A77" s="4" t="s">
        <v>80</v>
      </c>
      <c r="B77" s="5" t="n">
        <v>0.76</v>
      </c>
      <c r="C77" s="5" t="n">
        <v>1.73</v>
      </c>
      <c r="D77" s="5" t="n">
        <v>1.3</v>
      </c>
      <c r="E77" s="5" t="n">
        <v>0.4</v>
      </c>
    </row>
    <row r="78" customFormat="false" ht="15" hidden="false" customHeight="false" outlineLevel="0" collapsed="false">
      <c r="A78" s="2" t="s">
        <v>81</v>
      </c>
      <c r="B78" s="3" t="n">
        <v>-1.62</v>
      </c>
      <c r="C78" s="3" t="n">
        <v>-4.12</v>
      </c>
      <c r="D78" s="3" t="n">
        <v>-3.1</v>
      </c>
      <c r="E78" s="3" t="n">
        <v>0.41</v>
      </c>
    </row>
    <row r="79" customFormat="false" ht="15" hidden="false" customHeight="false" outlineLevel="0" collapsed="false">
      <c r="A79" s="4" t="s">
        <v>82</v>
      </c>
      <c r="B79" s="5" t="n">
        <v>0.23</v>
      </c>
      <c r="C79" s="5" t="n">
        <v>0.43</v>
      </c>
      <c r="D79" s="5" t="n">
        <v>0.2</v>
      </c>
      <c r="E79" s="5" t="n">
        <v>0.42</v>
      </c>
    </row>
    <row r="80" customFormat="false" ht="15" hidden="false" customHeight="false" outlineLevel="0" collapsed="false">
      <c r="A80" s="2" t="s">
        <v>83</v>
      </c>
      <c r="B80" s="3" t="n">
        <v>0.43</v>
      </c>
      <c r="C80" s="3" t="n">
        <v>0.87</v>
      </c>
      <c r="D80" s="3" t="n">
        <v>0.6</v>
      </c>
      <c r="E80" s="3" t="n">
        <v>0.43</v>
      </c>
    </row>
    <row r="81" customFormat="false" ht="15" hidden="false" customHeight="false" outlineLevel="0" collapsed="false">
      <c r="A81" s="4" t="s">
        <v>84</v>
      </c>
      <c r="B81" s="5" t="n">
        <v>1.34</v>
      </c>
      <c r="C81" s="5" t="n">
        <v>3.12</v>
      </c>
      <c r="D81" s="5" t="n">
        <v>2.4</v>
      </c>
      <c r="E81" s="5" t="n">
        <v>0.44</v>
      </c>
    </row>
    <row r="82" customFormat="false" ht="15" hidden="false" customHeight="false" outlineLevel="0" collapsed="false">
      <c r="A82" s="2" t="s">
        <v>85</v>
      </c>
      <c r="B82" s="3" t="n">
        <v>1.43</v>
      </c>
      <c r="C82" s="3" t="n">
        <v>3.43</v>
      </c>
      <c r="D82" s="3" t="n">
        <v>2.5</v>
      </c>
      <c r="E82" s="3" t="n">
        <v>0.43</v>
      </c>
    </row>
    <row r="83" customFormat="false" ht="15" hidden="false" customHeight="false" outlineLevel="0" collapsed="false">
      <c r="A83" s="4" t="s">
        <v>86</v>
      </c>
      <c r="B83" s="5" t="n">
        <v>1.87</v>
      </c>
      <c r="C83" s="5" t="n">
        <v>4.43</v>
      </c>
      <c r="D83" s="5" t="n">
        <v>3.3</v>
      </c>
      <c r="E83" s="5" t="n">
        <v>0.43</v>
      </c>
    </row>
    <row r="84" customFormat="false" ht="15" hidden="false" customHeight="false" outlineLevel="0" collapsed="false">
      <c r="A84" s="2" t="s">
        <v>87</v>
      </c>
      <c r="B84" s="3" t="n">
        <v>1.12</v>
      </c>
      <c r="C84" s="3" t="n">
        <v>2.43</v>
      </c>
      <c r="D84" s="3" t="n">
        <v>1.9</v>
      </c>
      <c r="E84" s="3" t="n">
        <v>0.43</v>
      </c>
    </row>
    <row r="85" customFormat="false" ht="15" hidden="false" customHeight="false" outlineLevel="0" collapsed="false">
      <c r="A85" s="4" t="s">
        <v>88</v>
      </c>
      <c r="B85" s="5" t="n">
        <v>0.87</v>
      </c>
      <c r="C85" s="5" t="n">
        <v>1.73</v>
      </c>
      <c r="D85" s="5" t="n">
        <v>1.3</v>
      </c>
      <c r="E85" s="5" t="n">
        <v>0.43</v>
      </c>
    </row>
    <row r="86" customFormat="false" ht="15" hidden="false" customHeight="false" outlineLevel="0" collapsed="false">
      <c r="A86" s="2" t="s">
        <v>89</v>
      </c>
      <c r="B86" s="3" t="n">
        <v>0.94</v>
      </c>
      <c r="C86" s="3" t="n">
        <v>2.12</v>
      </c>
      <c r="D86" s="3" t="n">
        <v>1.6</v>
      </c>
      <c r="E86" s="3" t="n">
        <v>0.43</v>
      </c>
    </row>
    <row r="87" customFormat="false" ht="15" hidden="false" customHeight="false" outlineLevel="0" collapsed="false">
      <c r="A87" s="4" t="s">
        <v>90</v>
      </c>
      <c r="B87" s="5" t="n">
        <v>-0.94</v>
      </c>
      <c r="C87" s="5" t="n">
        <v>-2.67</v>
      </c>
      <c r="D87" s="5" t="n">
        <v>-1.9</v>
      </c>
      <c r="E87" s="5" t="n">
        <v>0.44</v>
      </c>
    </row>
    <row r="88" customFormat="false" ht="15" hidden="false" customHeight="false" outlineLevel="0" collapsed="false">
      <c r="A88" s="2" t="s">
        <v>91</v>
      </c>
      <c r="B88" s="3" t="n">
        <v>0.62</v>
      </c>
      <c r="C88" s="3" t="n">
        <v>1.43</v>
      </c>
      <c r="D88" s="3" t="n">
        <v>1.1</v>
      </c>
      <c r="E88" s="3" t="n">
        <v>0.43</v>
      </c>
    </row>
    <row r="89" customFormat="false" ht="15" hidden="false" customHeight="false" outlineLevel="0" collapsed="false">
      <c r="A89" s="4" t="s">
        <v>92</v>
      </c>
      <c r="B89" s="5" t="n">
        <v>2.43</v>
      </c>
      <c r="C89" s="5" t="n">
        <v>5.87</v>
      </c>
      <c r="D89" s="5" t="n">
        <v>4.4</v>
      </c>
      <c r="E89" s="5" t="n">
        <v>0.43</v>
      </c>
    </row>
    <row r="90" customFormat="false" ht="15" hidden="false" customHeight="false" outlineLevel="0" collapsed="false">
      <c r="A90" s="2" t="s">
        <v>93</v>
      </c>
      <c r="B90" s="3" t="n">
        <v>1.73</v>
      </c>
      <c r="C90" s="3" t="n">
        <v>4.43</v>
      </c>
      <c r="D90" s="3" t="n">
        <v>3.3</v>
      </c>
      <c r="E90" s="3" t="n">
        <v>0.42</v>
      </c>
    </row>
    <row r="91" customFormat="false" ht="15" hidden="false" customHeight="false" outlineLevel="0" collapsed="false">
      <c r="A91" s="4" t="s">
        <v>94</v>
      </c>
      <c r="B91" s="5" t="n">
        <v>-0.87</v>
      </c>
      <c r="C91" s="5" t="n">
        <v>-2.67</v>
      </c>
      <c r="D91" s="5" t="n">
        <v>-1.8</v>
      </c>
      <c r="E91" s="5" t="n">
        <v>0.41</v>
      </c>
    </row>
    <row r="92" customFormat="false" ht="15" hidden="false" customHeight="false" outlineLevel="0" collapsed="false">
      <c r="A92" s="2" t="s">
        <v>95</v>
      </c>
      <c r="B92" s="3" t="n">
        <v>-1.54</v>
      </c>
      <c r="C92" s="3" t="n">
        <v>-4.87</v>
      </c>
      <c r="D92" s="3" t="n">
        <v>-3.1</v>
      </c>
      <c r="E92" s="3" t="n">
        <v>0.4</v>
      </c>
    </row>
    <row r="93" customFormat="false" ht="15" hidden="false" customHeight="false" outlineLevel="0" collapsed="false">
      <c r="A93" s="4" t="s">
        <v>96</v>
      </c>
      <c r="B93" s="5" t="n">
        <v>0.76</v>
      </c>
      <c r="C93" s="5" t="n">
        <v>2.12</v>
      </c>
      <c r="D93" s="5" t="n">
        <v>1.4</v>
      </c>
      <c r="E93" s="5" t="n">
        <v>0.39</v>
      </c>
    </row>
    <row r="94" customFormat="false" ht="15" hidden="false" customHeight="false" outlineLevel="0" collapsed="false">
      <c r="A94" s="2" t="s">
        <v>97</v>
      </c>
      <c r="B94" s="3" t="n">
        <v>1.87</v>
      </c>
      <c r="C94" s="3" t="n">
        <v>5.43</v>
      </c>
      <c r="D94" s="3" t="n">
        <v>3.8</v>
      </c>
      <c r="E94" s="3" t="n">
        <v>0.35</v>
      </c>
    </row>
    <row r="95" customFormat="false" ht="15" hidden="false" customHeight="false" outlineLevel="0" collapsed="false">
      <c r="A95" s="4" t="s">
        <v>98</v>
      </c>
      <c r="B95" s="5" t="n">
        <v>0.87</v>
      </c>
      <c r="C95" s="5" t="n">
        <v>2.43</v>
      </c>
      <c r="D95" s="5" t="n">
        <v>1.7</v>
      </c>
      <c r="E95" s="5" t="n">
        <v>0.32</v>
      </c>
    </row>
    <row r="96" customFormat="false" ht="15" hidden="false" customHeight="false" outlineLevel="0" collapsed="false">
      <c r="A96" s="2" t="s">
        <v>99</v>
      </c>
      <c r="B96" s="3" t="n">
        <v>-2.12</v>
      </c>
      <c r="C96" s="3" t="n">
        <v>-6.87</v>
      </c>
      <c r="D96" s="3" t="n">
        <v>-4.7</v>
      </c>
      <c r="E96" s="3" t="n">
        <v>0.29</v>
      </c>
    </row>
    <row r="97" customFormat="false" ht="15" hidden="false" customHeight="false" outlineLevel="0" collapsed="false">
      <c r="A97" s="4" t="s">
        <v>100</v>
      </c>
      <c r="B97" s="5" t="n">
        <v>-0.43</v>
      </c>
      <c r="C97" s="5" t="n">
        <v>-1.23</v>
      </c>
      <c r="D97" s="5" t="n">
        <v>-0.9</v>
      </c>
      <c r="E97" s="5" t="n">
        <v>0.27</v>
      </c>
    </row>
    <row r="98" customFormat="false" ht="15" hidden="false" customHeight="false" outlineLevel="0" collapsed="false">
      <c r="A98" s="2" t="s">
        <v>101</v>
      </c>
      <c r="B98" s="3" t="n">
        <v>-2.87</v>
      </c>
      <c r="C98" s="3" t="n">
        <v>-9.43</v>
      </c>
      <c r="D98" s="3" t="n">
        <v>-6.3</v>
      </c>
      <c r="E98" s="3" t="n">
        <v>0.22</v>
      </c>
    </row>
    <row r="99" customFormat="false" ht="15" hidden="false" customHeight="false" outlineLevel="0" collapsed="false">
      <c r="A99" s="4" t="s">
        <v>102</v>
      </c>
      <c r="B99" s="5" t="n">
        <v>-1.54</v>
      </c>
      <c r="C99" s="5" t="n">
        <v>-4.43</v>
      </c>
      <c r="D99" s="5" t="n">
        <v>-3.1</v>
      </c>
      <c r="E99" s="5" t="n">
        <v>0.18</v>
      </c>
    </row>
    <row r="100" customFormat="false" ht="15" hidden="false" customHeight="false" outlineLevel="0" collapsed="false">
      <c r="A100" s="2" t="s">
        <v>103</v>
      </c>
      <c r="B100" s="3" t="n">
        <v>-0.43</v>
      </c>
      <c r="C100" s="3" t="n">
        <v>-1.12</v>
      </c>
      <c r="D100" s="3" t="n">
        <v>-0.7</v>
      </c>
      <c r="E100" s="3" t="n">
        <v>0.16</v>
      </c>
    </row>
    <row r="101" customFormat="false" ht="15" hidden="false" customHeight="false" outlineLevel="0" collapsed="false">
      <c r="A101" s="4" t="s">
        <v>104</v>
      </c>
      <c r="B101" s="5" t="n">
        <v>2.34</v>
      </c>
      <c r="C101" s="5" t="n">
        <v>6.87</v>
      </c>
      <c r="D101" s="5" t="n">
        <v>4.8</v>
      </c>
      <c r="E101" s="5" t="n">
        <v>0.14</v>
      </c>
    </row>
    <row r="102" customFormat="false" ht="15" hidden="false" customHeight="false" outlineLevel="0" collapsed="false">
      <c r="A102" s="2" t="s">
        <v>105</v>
      </c>
      <c r="B102" s="3" t="n">
        <v>0.76</v>
      </c>
      <c r="C102" s="3" t="n">
        <v>1.87</v>
      </c>
      <c r="D102" s="3" t="n">
        <v>1.4</v>
      </c>
      <c r="E102" s="3" t="n">
        <v>0.15</v>
      </c>
    </row>
    <row r="103" customFormat="false" ht="15" hidden="false" customHeight="false" outlineLevel="0" collapsed="false">
      <c r="A103" s="4" t="s">
        <v>106</v>
      </c>
      <c r="B103" s="5" t="n">
        <v>-4.12</v>
      </c>
      <c r="C103" s="5" t="n">
        <v>-12.43</v>
      </c>
      <c r="D103" s="5" t="n">
        <v>-8.7</v>
      </c>
      <c r="E103" s="5" t="n">
        <v>0.16</v>
      </c>
    </row>
    <row r="104" customFormat="false" ht="15" hidden="false" customHeight="false" outlineLevel="0" collapsed="false">
      <c r="A104" s="2" t="s">
        <v>107</v>
      </c>
      <c r="B104" s="3" t="n">
        <v>-0.54</v>
      </c>
      <c r="C104" s="3" t="n">
        <v>-1.23</v>
      </c>
      <c r="D104" s="3" t="n">
        <v>-0.9</v>
      </c>
      <c r="E104" s="3" t="n">
        <v>0.14</v>
      </c>
    </row>
    <row r="105" customFormat="false" ht="15" hidden="false" customHeight="false" outlineLevel="0" collapsed="false">
      <c r="A105" s="4" t="s">
        <v>108</v>
      </c>
      <c r="B105" s="5" t="n">
        <v>0.76</v>
      </c>
      <c r="C105" s="5" t="n">
        <v>2.12</v>
      </c>
      <c r="D105" s="5" t="n">
        <v>1.6</v>
      </c>
      <c r="E105" s="5" t="n">
        <v>0.13</v>
      </c>
    </row>
    <row r="106" customFormat="false" ht="15" hidden="false" customHeight="false" outlineLevel="0" collapsed="false">
      <c r="A106" s="2" t="s">
        <v>109</v>
      </c>
      <c r="B106" s="3" t="n">
        <v>-4.43</v>
      </c>
      <c r="C106" s="3" t="n">
        <v>-13.87</v>
      </c>
      <c r="D106" s="3" t="n">
        <v>-9.5</v>
      </c>
      <c r="E106" s="3" t="n">
        <v>0.11</v>
      </c>
    </row>
    <row r="107" customFormat="false" ht="15" hidden="false" customHeight="false" outlineLevel="0" collapsed="false">
      <c r="A107" s="4" t="s">
        <v>110</v>
      </c>
      <c r="B107" s="5" t="n">
        <v>-7.87</v>
      </c>
      <c r="C107" s="5" t="n">
        <v>-25.43</v>
      </c>
      <c r="D107" s="5" t="n">
        <v>-17.2</v>
      </c>
      <c r="E107" s="5" t="n">
        <v>0.07</v>
      </c>
    </row>
    <row r="108" customFormat="false" ht="15" hidden="false" customHeight="false" outlineLevel="0" collapsed="false">
      <c r="A108" s="2" t="s">
        <v>111</v>
      </c>
      <c r="B108" s="3" t="n">
        <v>-3.43</v>
      </c>
      <c r="C108" s="3" t="n">
        <v>-11.87</v>
      </c>
      <c r="D108" s="3" t="n">
        <v>-7.7</v>
      </c>
      <c r="E108" s="3" t="n">
        <v>0.05</v>
      </c>
    </row>
    <row r="109" customFormat="false" ht="15" hidden="false" customHeight="false" outlineLevel="0" collapsed="false">
      <c r="A109" s="4" t="s">
        <v>112</v>
      </c>
      <c r="B109" s="5" t="n">
        <v>0.76</v>
      </c>
      <c r="C109" s="5" t="n">
        <v>1.87</v>
      </c>
      <c r="D109" s="5" t="n">
        <v>1.4</v>
      </c>
      <c r="E109" s="5" t="n">
        <v>0.01</v>
      </c>
    </row>
    <row r="110" customFormat="false" ht="15" hidden="false" customHeight="false" outlineLevel="0" collapsed="false">
      <c r="A110" s="2" t="s">
        <v>113</v>
      </c>
      <c r="B110" s="3" t="n">
        <v>-4.12</v>
      </c>
      <c r="C110" s="3" t="n">
        <v>-12.87</v>
      </c>
      <c r="D110" s="3" t="n">
        <v>-8.7</v>
      </c>
      <c r="E110" s="3" t="n">
        <v>0.01</v>
      </c>
    </row>
    <row r="111" customFormat="false" ht="15" hidden="false" customHeight="false" outlineLevel="0" collapsed="false">
      <c r="A111" s="4" t="s">
        <v>114</v>
      </c>
      <c r="B111" s="5" t="n">
        <v>-4.87</v>
      </c>
      <c r="C111" s="5" t="n">
        <v>-15.43</v>
      </c>
      <c r="D111" s="5" t="n">
        <v>-10.9</v>
      </c>
      <c r="E111" s="5" t="n">
        <v>0.01</v>
      </c>
    </row>
    <row r="112" customFormat="false" ht="15" hidden="false" customHeight="false" outlineLevel="0" collapsed="false">
      <c r="A112" s="2" t="s">
        <v>115</v>
      </c>
      <c r="B112" s="3" t="n">
        <v>4.23</v>
      </c>
      <c r="C112" s="3" t="n">
        <v>12.87</v>
      </c>
      <c r="D112" s="3" t="n">
        <v>8.8</v>
      </c>
      <c r="E112" s="3" t="n">
        <v>0.01</v>
      </c>
    </row>
    <row r="113" customFormat="false" ht="15" hidden="false" customHeight="false" outlineLevel="0" collapsed="false">
      <c r="A113" s="4" t="s">
        <v>116</v>
      </c>
      <c r="B113" s="5" t="n">
        <v>4.87</v>
      </c>
      <c r="C113" s="5" t="n">
        <v>14.87</v>
      </c>
      <c r="D113" s="5" t="n">
        <v>10.4</v>
      </c>
      <c r="E113" s="5" t="n">
        <v>0.01</v>
      </c>
    </row>
    <row r="114" customFormat="false" ht="15" hidden="false" customHeight="false" outlineLevel="0" collapsed="false">
      <c r="A114" s="2" t="s">
        <v>117</v>
      </c>
      <c r="B114" s="3" t="n">
        <v>2.67</v>
      </c>
      <c r="C114" s="3" t="n">
        <v>8.12</v>
      </c>
      <c r="D114" s="3" t="n">
        <v>5.7</v>
      </c>
      <c r="E114" s="3" t="n">
        <v>0.01</v>
      </c>
    </row>
    <row r="115" customFormat="false" ht="15" hidden="false" customHeight="false" outlineLevel="0" collapsed="false">
      <c r="A115" s="4" t="s">
        <v>118</v>
      </c>
      <c r="B115" s="5" t="n">
        <v>0.12</v>
      </c>
      <c r="C115" s="5" t="n">
        <v>0.43</v>
      </c>
      <c r="D115" s="5" t="n">
        <v>0.2</v>
      </c>
      <c r="E115" s="5" t="n">
        <v>0.01</v>
      </c>
    </row>
    <row r="116" customFormat="false" ht="15" hidden="false" customHeight="false" outlineLevel="0" collapsed="false">
      <c r="A116" s="2" t="s">
        <v>119</v>
      </c>
      <c r="B116" s="3" t="n">
        <v>3.62</v>
      </c>
      <c r="C116" s="3" t="n">
        <v>11.23</v>
      </c>
      <c r="D116" s="3" t="n">
        <v>7.7</v>
      </c>
      <c r="E116" s="3" t="n">
        <v>0.01</v>
      </c>
    </row>
    <row r="117" customFormat="false" ht="15" hidden="false" customHeight="false" outlineLevel="0" collapsed="false">
      <c r="A117" s="4" t="s">
        <v>120</v>
      </c>
      <c r="B117" s="5" t="n">
        <v>1.73</v>
      </c>
      <c r="C117" s="5" t="n">
        <v>5.43</v>
      </c>
      <c r="D117" s="5" t="n">
        <v>3.7</v>
      </c>
      <c r="E117" s="5" t="n">
        <v>0.01</v>
      </c>
    </row>
    <row r="118" customFormat="false" ht="15" hidden="false" customHeight="false" outlineLevel="0" collapsed="false">
      <c r="A118" s="2" t="s">
        <v>121</v>
      </c>
      <c r="B118" s="3" t="n">
        <v>1.87</v>
      </c>
      <c r="C118" s="3" t="n">
        <v>5.43</v>
      </c>
      <c r="D118" s="3" t="n">
        <v>3.8</v>
      </c>
      <c r="E118" s="3" t="n">
        <v>0.01</v>
      </c>
    </row>
    <row r="119" customFormat="false" ht="15" hidden="false" customHeight="false" outlineLevel="0" collapsed="false">
      <c r="A119" s="4" t="s">
        <v>122</v>
      </c>
      <c r="B119" s="5" t="n">
        <v>-0.94</v>
      </c>
      <c r="C119" s="5" t="n">
        <v>-2.87</v>
      </c>
      <c r="D119" s="5" t="n">
        <v>-1.9</v>
      </c>
      <c r="E119" s="5" t="n">
        <v>0.01</v>
      </c>
    </row>
    <row r="120" customFormat="false" ht="15" hidden="false" customHeight="false" outlineLevel="0" collapsed="false">
      <c r="A120" s="2" t="s">
        <v>123</v>
      </c>
      <c r="B120" s="3" t="n">
        <v>2.87</v>
      </c>
      <c r="C120" s="3" t="n">
        <v>8.87</v>
      </c>
      <c r="D120" s="3" t="n">
        <v>6.1</v>
      </c>
      <c r="E120" s="3" t="n">
        <v>0.01</v>
      </c>
    </row>
    <row r="121" customFormat="false" ht="15" hidden="false" customHeight="false" outlineLevel="0" collapsed="false">
      <c r="A121" s="4" t="s">
        <v>124</v>
      </c>
      <c r="B121" s="5" t="n">
        <v>0.94</v>
      </c>
      <c r="C121" s="5" t="n">
        <v>2.87</v>
      </c>
      <c r="D121" s="5" t="n">
        <v>2</v>
      </c>
      <c r="E121" s="5" t="n">
        <v>0.01</v>
      </c>
    </row>
    <row r="122" customFormat="false" ht="15" hidden="false" customHeight="false" outlineLevel="0" collapsed="false">
      <c r="A122" s="2" t="s">
        <v>125</v>
      </c>
      <c r="B122" s="3" t="n">
        <v>-1.73</v>
      </c>
      <c r="C122" s="3" t="n">
        <v>-5.12</v>
      </c>
      <c r="D122" s="3" t="n">
        <v>-3.5</v>
      </c>
      <c r="E122" s="3" t="n">
        <v>0.01</v>
      </c>
    </row>
    <row r="123" customFormat="false" ht="15" hidden="false" customHeight="false" outlineLevel="0" collapsed="false">
      <c r="A123" s="4" t="s">
        <v>126</v>
      </c>
      <c r="B123" s="5" t="n">
        <v>1.62</v>
      </c>
      <c r="C123" s="5" t="n">
        <v>4.87</v>
      </c>
      <c r="D123" s="5" t="n">
        <v>3.4</v>
      </c>
      <c r="E123" s="5" t="n">
        <v>0.01</v>
      </c>
    </row>
    <row r="124" customFormat="false" ht="15" hidden="false" customHeight="false" outlineLevel="0" collapsed="false">
      <c r="A124" s="2" t="s">
        <v>127</v>
      </c>
      <c r="B124" s="3" t="n">
        <v>2.87</v>
      </c>
      <c r="C124" s="3" t="n">
        <v>8.43</v>
      </c>
      <c r="D124" s="3" t="n">
        <v>6</v>
      </c>
      <c r="E124" s="3" t="n">
        <v>0.01</v>
      </c>
    </row>
    <row r="125" customFormat="false" ht="15" hidden="false" customHeight="false" outlineLevel="0" collapsed="false">
      <c r="A125" s="4" t="s">
        <v>128</v>
      </c>
      <c r="B125" s="5" t="n">
        <v>0.87</v>
      </c>
      <c r="C125" s="5" t="n">
        <v>2.43</v>
      </c>
      <c r="D125" s="5" t="n">
        <v>1.7</v>
      </c>
      <c r="E125" s="5" t="n">
        <v>0.01</v>
      </c>
    </row>
    <row r="126" customFormat="false" ht="15" hidden="false" customHeight="false" outlineLevel="0" collapsed="false">
      <c r="A126" s="2" t="s">
        <v>129</v>
      </c>
      <c r="B126" s="3" t="n">
        <v>-3.87</v>
      </c>
      <c r="C126" s="3" t="n">
        <v>-11.43</v>
      </c>
      <c r="D126" s="3" t="n">
        <v>-8</v>
      </c>
      <c r="E126" s="3" t="n">
        <v>0.01</v>
      </c>
    </row>
    <row r="127" customFormat="false" ht="15" hidden="false" customHeight="false" outlineLevel="0" collapsed="false">
      <c r="A127" s="4" t="s">
        <v>130</v>
      </c>
      <c r="B127" s="5" t="n">
        <v>-2.54</v>
      </c>
      <c r="C127" s="5" t="n">
        <v>-7.87</v>
      </c>
      <c r="D127" s="5" t="n">
        <v>-5.3</v>
      </c>
      <c r="E127" s="5" t="n">
        <v>0.01</v>
      </c>
    </row>
    <row r="128" customFormat="false" ht="15" hidden="false" customHeight="false" outlineLevel="0" collapsed="false">
      <c r="A128" s="2" t="s">
        <v>131</v>
      </c>
      <c r="B128" s="3" t="n">
        <v>3.34</v>
      </c>
      <c r="C128" s="3" t="n">
        <v>9.87</v>
      </c>
      <c r="D128" s="3" t="n">
        <v>7</v>
      </c>
      <c r="E128" s="3" t="n">
        <v>0.01</v>
      </c>
    </row>
    <row r="129" customFormat="false" ht="15" hidden="false" customHeight="false" outlineLevel="0" collapsed="false">
      <c r="A129" s="4" t="s">
        <v>132</v>
      </c>
      <c r="B129" s="5" t="n">
        <v>-2.23</v>
      </c>
      <c r="C129" s="5" t="n">
        <v>-6.43</v>
      </c>
      <c r="D129" s="5" t="n">
        <v>-4.6</v>
      </c>
      <c r="E129" s="5" t="n">
        <v>0.01</v>
      </c>
    </row>
    <row r="130" customFormat="false" ht="15" hidden="false" customHeight="false" outlineLevel="0" collapsed="false">
      <c r="A130" s="2" t="s">
        <v>133</v>
      </c>
      <c r="B130" s="3" t="n">
        <v>4.23</v>
      </c>
      <c r="C130" s="3" t="n">
        <v>12.87</v>
      </c>
      <c r="D130" s="3" t="n">
        <v>9.2</v>
      </c>
      <c r="E130" s="3" t="n">
        <v>0.01</v>
      </c>
    </row>
    <row r="131" customFormat="false" ht="15" hidden="false" customHeight="false" outlineLevel="0" collapsed="false">
      <c r="A131" s="4" t="s">
        <v>134</v>
      </c>
      <c r="B131" s="5" t="n">
        <v>1.87</v>
      </c>
      <c r="C131" s="5" t="n">
        <v>5.12</v>
      </c>
      <c r="D131" s="5" t="n">
        <v>3.8</v>
      </c>
      <c r="E131" s="5" t="n">
        <v>0.01</v>
      </c>
    </row>
    <row r="132" customFormat="false" ht="15" hidden="false" customHeight="false" outlineLevel="0" collapsed="false">
      <c r="A132" s="2" t="s">
        <v>135</v>
      </c>
      <c r="B132" s="3" t="n">
        <v>-0.12</v>
      </c>
      <c r="C132" s="3" t="n">
        <v>-0.23</v>
      </c>
      <c r="D132" s="3" t="n">
        <v>-0.2</v>
      </c>
      <c r="E132" s="3" t="n">
        <v>0.01</v>
      </c>
    </row>
    <row r="133" customFormat="false" ht="15" hidden="false" customHeight="false" outlineLevel="0" collapsed="false">
      <c r="A133" s="4" t="s">
        <v>136</v>
      </c>
      <c r="B133" s="5" t="n">
        <v>3.23</v>
      </c>
      <c r="C133" s="5" t="n">
        <v>9.43</v>
      </c>
      <c r="D133" s="5" t="n">
        <v>6.8</v>
      </c>
      <c r="E133" s="5" t="n">
        <v>0.01</v>
      </c>
    </row>
    <row r="134" customFormat="false" ht="15" hidden="false" customHeight="false" outlineLevel="0" collapsed="false">
      <c r="A134" s="2" t="s">
        <v>137</v>
      </c>
      <c r="B134" s="3" t="n">
        <v>1.23</v>
      </c>
      <c r="C134" s="3" t="n">
        <v>3.43</v>
      </c>
      <c r="D134" s="3" t="n">
        <v>2.4</v>
      </c>
      <c r="E134" s="3" t="n">
        <v>0.01</v>
      </c>
    </row>
    <row r="135" customFormat="false" ht="15" hidden="false" customHeight="false" outlineLevel="0" collapsed="false">
      <c r="A135" s="4" t="s">
        <v>138</v>
      </c>
      <c r="B135" s="5" t="n">
        <v>1.73</v>
      </c>
      <c r="C135" s="5" t="n">
        <v>4.87</v>
      </c>
      <c r="D135" s="5" t="n">
        <v>3.4</v>
      </c>
      <c r="E135" s="5" t="n">
        <v>0.01</v>
      </c>
    </row>
    <row r="136" customFormat="false" ht="15" hidden="false" customHeight="false" outlineLevel="0" collapsed="false">
      <c r="A136" s="2" t="s">
        <v>139</v>
      </c>
      <c r="B136" s="3" t="n">
        <v>0.12</v>
      </c>
      <c r="C136" s="3" t="n">
        <v>0.23</v>
      </c>
      <c r="D136" s="3" t="n">
        <v>0</v>
      </c>
      <c r="E136" s="3" t="n">
        <v>0.01</v>
      </c>
    </row>
    <row r="137" customFormat="false" ht="15" hidden="false" customHeight="false" outlineLevel="0" collapsed="false">
      <c r="A137" s="4" t="s">
        <v>140</v>
      </c>
      <c r="B137" s="5" t="n">
        <v>1.43</v>
      </c>
      <c r="C137" s="5" t="n">
        <v>3.87</v>
      </c>
      <c r="D137" s="5" t="n">
        <v>2.9</v>
      </c>
      <c r="E137" s="5" t="n">
        <v>0.01</v>
      </c>
    </row>
    <row r="138" customFormat="false" ht="15" hidden="false" customHeight="false" outlineLevel="0" collapsed="false">
      <c r="A138" s="2" t="s">
        <v>141</v>
      </c>
      <c r="B138" s="3" t="n">
        <v>-0.62</v>
      </c>
      <c r="C138" s="3" t="n">
        <v>-1.87</v>
      </c>
      <c r="D138" s="3" t="n">
        <v>-1.4</v>
      </c>
      <c r="E138" s="3" t="n">
        <v>0.01</v>
      </c>
    </row>
    <row r="139" customFormat="false" ht="15" hidden="false" customHeight="false" outlineLevel="0" collapsed="false">
      <c r="A139" s="4" t="s">
        <v>142</v>
      </c>
      <c r="B139" s="5" t="n">
        <v>-0.87</v>
      </c>
      <c r="C139" s="5" t="n">
        <v>-2.43</v>
      </c>
      <c r="D139" s="5" t="n">
        <v>-1.8</v>
      </c>
      <c r="E139" s="5" t="n">
        <v>0.01</v>
      </c>
    </row>
    <row r="140" customFormat="false" ht="15" hidden="false" customHeight="false" outlineLevel="0" collapsed="false">
      <c r="A140" s="2" t="s">
        <v>143</v>
      </c>
      <c r="B140" s="3" t="n">
        <v>-0.94</v>
      </c>
      <c r="C140" s="3" t="n">
        <v>-2.87</v>
      </c>
      <c r="D140" s="3" t="n">
        <v>-2.2</v>
      </c>
      <c r="E140" s="3" t="n">
        <v>0.01</v>
      </c>
    </row>
    <row r="141" customFormat="false" ht="15" hidden="false" customHeight="false" outlineLevel="0" collapsed="false">
      <c r="A141" s="4" t="s">
        <v>144</v>
      </c>
      <c r="B141" s="5" t="n">
        <v>-2.67</v>
      </c>
      <c r="C141" s="5" t="n">
        <v>-8.12</v>
      </c>
      <c r="D141" s="5" t="n">
        <v>-5.9</v>
      </c>
      <c r="E141" s="5" t="n">
        <v>0.01</v>
      </c>
    </row>
    <row r="142" customFormat="false" ht="15" hidden="false" customHeight="false" outlineLevel="0" collapsed="false">
      <c r="A142" s="2" t="s">
        <v>145</v>
      </c>
      <c r="B142" s="3" t="n">
        <v>-3.23</v>
      </c>
      <c r="C142" s="3" t="n">
        <v>-10.23</v>
      </c>
      <c r="D142" s="3" t="n">
        <v>-7.3</v>
      </c>
      <c r="E142" s="3" t="n">
        <v>0.01</v>
      </c>
    </row>
    <row r="143" customFormat="false" ht="15" hidden="false" customHeight="false" outlineLevel="0" collapsed="false">
      <c r="A143" s="4" t="s">
        <v>146</v>
      </c>
      <c r="B143" s="5" t="n">
        <v>5.12</v>
      </c>
      <c r="C143" s="5" t="n">
        <v>15.43</v>
      </c>
      <c r="D143" s="5" t="n">
        <v>11</v>
      </c>
      <c r="E143" s="5" t="n">
        <v>0.01</v>
      </c>
    </row>
    <row r="144" customFormat="false" ht="15" hidden="false" customHeight="false" outlineLevel="0" collapsed="false">
      <c r="A144" s="2" t="s">
        <v>147</v>
      </c>
      <c r="B144" s="3" t="n">
        <v>-0.23</v>
      </c>
      <c r="C144" s="3" t="n">
        <v>-0.62</v>
      </c>
      <c r="D144" s="3" t="n">
        <v>-0.5</v>
      </c>
      <c r="E144" s="3" t="n">
        <v>0.01</v>
      </c>
    </row>
    <row r="145" customFormat="false" ht="15" hidden="false" customHeight="false" outlineLevel="0" collapsed="false">
      <c r="A145" s="4" t="s">
        <v>148</v>
      </c>
      <c r="B145" s="5" t="n">
        <v>0.54</v>
      </c>
      <c r="C145" s="5" t="n">
        <v>1.43</v>
      </c>
      <c r="D145" s="5" t="n">
        <v>1</v>
      </c>
      <c r="E145" s="5" t="n">
        <v>0.01</v>
      </c>
    </row>
    <row r="146" customFormat="false" ht="15" hidden="false" customHeight="false" outlineLevel="0" collapsed="false">
      <c r="A146" s="2" t="s">
        <v>149</v>
      </c>
      <c r="B146" s="3" t="n">
        <v>2.43</v>
      </c>
      <c r="C146" s="3" t="n">
        <v>7.12</v>
      </c>
      <c r="D146" s="3" t="n">
        <v>5.2</v>
      </c>
      <c r="E146" s="3" t="n">
        <v>0.01</v>
      </c>
    </row>
    <row r="147" customFormat="false" ht="15" hidden="false" customHeight="false" outlineLevel="0" collapsed="false">
      <c r="A147" s="4" t="s">
        <v>150</v>
      </c>
      <c r="B147" s="5" t="n">
        <v>2.12</v>
      </c>
      <c r="C147" s="5" t="n">
        <v>6.12</v>
      </c>
      <c r="D147" s="5" t="n">
        <v>4.4</v>
      </c>
      <c r="E147" s="5" t="n">
        <v>0.01</v>
      </c>
    </row>
    <row r="148" customFormat="false" ht="15" hidden="false" customHeight="false" outlineLevel="0" collapsed="false">
      <c r="A148" s="2" t="s">
        <v>151</v>
      </c>
      <c r="B148" s="3" t="n">
        <v>1.62</v>
      </c>
      <c r="C148" s="3" t="n">
        <v>4.43</v>
      </c>
      <c r="D148" s="3" t="n">
        <v>3.2</v>
      </c>
      <c r="E148" s="3" t="n">
        <v>0.01</v>
      </c>
    </row>
    <row r="149" customFormat="false" ht="15" hidden="false" customHeight="false" outlineLevel="0" collapsed="false">
      <c r="A149" s="4" t="s">
        <v>152</v>
      </c>
      <c r="B149" s="5" t="n">
        <v>-0.43</v>
      </c>
      <c r="C149" s="5" t="n">
        <v>-1.12</v>
      </c>
      <c r="D149" s="5" t="n">
        <v>-0.8</v>
      </c>
      <c r="E149" s="5" t="n">
        <v>0.01</v>
      </c>
    </row>
    <row r="150" customFormat="false" ht="15" hidden="false" customHeight="false" outlineLevel="0" collapsed="false">
      <c r="A150" s="2" t="s">
        <v>153</v>
      </c>
      <c r="B150" s="3" t="n">
        <v>-3.12</v>
      </c>
      <c r="C150" s="3" t="n">
        <v>-8.87</v>
      </c>
      <c r="D150" s="3" t="n">
        <v>-6.2</v>
      </c>
      <c r="E150" s="3" t="n">
        <v>0.01</v>
      </c>
    </row>
    <row r="151" customFormat="false" ht="15" hidden="false" customHeight="false" outlineLevel="0" collapsed="false">
      <c r="A151" s="4" t="s">
        <v>154</v>
      </c>
      <c r="B151" s="5" t="n">
        <v>2.12</v>
      </c>
      <c r="C151" s="5" t="n">
        <v>5.87</v>
      </c>
      <c r="D151" s="5" t="n">
        <v>4.1</v>
      </c>
      <c r="E151" s="5" t="n">
        <v>0.01</v>
      </c>
    </row>
    <row r="152" customFormat="false" ht="15" hidden="false" customHeight="false" outlineLevel="0" collapsed="false">
      <c r="A152" s="2" t="s">
        <v>155</v>
      </c>
      <c r="B152" s="3" t="n">
        <v>0.73</v>
      </c>
      <c r="C152" s="3" t="n">
        <v>1.87</v>
      </c>
      <c r="D152" s="3" t="n">
        <v>1.4</v>
      </c>
      <c r="E152" s="3" t="n">
        <v>0.01</v>
      </c>
    </row>
    <row r="153" customFormat="false" ht="15" hidden="false" customHeight="false" outlineLevel="0" collapsed="false">
      <c r="A153" s="4" t="s">
        <v>156</v>
      </c>
      <c r="B153" s="5" t="n">
        <v>1.23</v>
      </c>
      <c r="C153" s="5" t="n">
        <v>3.12</v>
      </c>
      <c r="D153" s="5" t="n">
        <v>2.3</v>
      </c>
      <c r="E153" s="5" t="n">
        <v>0.01</v>
      </c>
    </row>
    <row r="154" customFormat="false" ht="15" hidden="false" customHeight="false" outlineLevel="0" collapsed="false">
      <c r="A154" s="2" t="s">
        <v>157</v>
      </c>
      <c r="B154" s="3" t="n">
        <v>1.23</v>
      </c>
      <c r="C154" s="3" t="n">
        <v>3.43</v>
      </c>
      <c r="D154" s="3" t="n">
        <v>2.4</v>
      </c>
      <c r="E154" s="3" t="n">
        <v>0.01</v>
      </c>
    </row>
    <row r="155" customFormat="false" ht="15" hidden="false" customHeight="false" outlineLevel="0" collapsed="false">
      <c r="A155" s="4" t="s">
        <v>158</v>
      </c>
      <c r="B155" s="5" t="n">
        <v>-1.02</v>
      </c>
      <c r="C155" s="5" t="n">
        <v>-2.67</v>
      </c>
      <c r="D155" s="5" t="n">
        <v>-2</v>
      </c>
      <c r="E155" s="5" t="n">
        <v>0.01</v>
      </c>
    </row>
    <row r="156" customFormat="false" ht="15" hidden="false" customHeight="false" outlineLevel="0" collapsed="false">
      <c r="A156" s="2" t="s">
        <v>159</v>
      </c>
      <c r="B156" s="3" t="n">
        <v>0.34</v>
      </c>
      <c r="C156" s="3" t="n">
        <v>0.87</v>
      </c>
      <c r="D156" s="3" t="n">
        <v>0.6</v>
      </c>
      <c r="E156" s="3" t="n">
        <v>0.01</v>
      </c>
    </row>
    <row r="157" customFormat="false" ht="15" hidden="false" customHeight="false" outlineLevel="0" collapsed="false">
      <c r="A157" s="4" t="s">
        <v>160</v>
      </c>
      <c r="B157" s="5" t="n">
        <v>0.54</v>
      </c>
      <c r="C157" s="5" t="n">
        <v>1.23</v>
      </c>
      <c r="D157" s="5" t="n">
        <v>0.9</v>
      </c>
      <c r="E157" s="5" t="n">
        <v>0.01</v>
      </c>
    </row>
    <row r="158" customFormat="false" ht="15" hidden="false" customHeight="false" outlineLevel="0" collapsed="false">
      <c r="A158" s="2" t="s">
        <v>161</v>
      </c>
      <c r="B158" s="3" t="n">
        <v>2.67</v>
      </c>
      <c r="C158" s="3" t="n">
        <v>7.43</v>
      </c>
      <c r="D158" s="3" t="n">
        <v>5.5</v>
      </c>
      <c r="E158" s="3" t="n">
        <v>0.01</v>
      </c>
    </row>
    <row r="159" customFormat="false" ht="15" hidden="false" customHeight="false" outlineLevel="0" collapsed="false">
      <c r="A159" s="4" t="s">
        <v>162</v>
      </c>
      <c r="B159" s="5" t="n">
        <v>0.73</v>
      </c>
      <c r="C159" s="5" t="n">
        <v>1.87</v>
      </c>
      <c r="D159" s="5" t="n">
        <v>1.4</v>
      </c>
      <c r="E159" s="5" t="n">
        <v>0.01</v>
      </c>
    </row>
    <row r="160" customFormat="false" ht="15" hidden="false" customHeight="false" outlineLevel="0" collapsed="false">
      <c r="A160" s="2" t="s">
        <v>163</v>
      </c>
      <c r="B160" s="3" t="n">
        <v>1.87</v>
      </c>
      <c r="C160" s="3" t="n">
        <v>5.12</v>
      </c>
      <c r="D160" s="3" t="n">
        <v>3.8</v>
      </c>
      <c r="E160" s="3" t="n">
        <v>0.01</v>
      </c>
    </row>
    <row r="161" customFormat="false" ht="15" hidden="false" customHeight="false" outlineLevel="0" collapsed="false">
      <c r="A161" s="4" t="s">
        <v>164</v>
      </c>
      <c r="B161" s="5" t="n">
        <v>1.02</v>
      </c>
      <c r="C161" s="5" t="n">
        <v>2.43</v>
      </c>
      <c r="D161" s="5" t="n">
        <v>1.9</v>
      </c>
      <c r="E161" s="5" t="n">
        <v>0.01</v>
      </c>
    </row>
    <row r="162" customFormat="false" ht="15" hidden="false" customHeight="false" outlineLevel="0" collapsed="false">
      <c r="A162" s="2" t="s">
        <v>165</v>
      </c>
      <c r="B162" s="3" t="n">
        <v>1.23</v>
      </c>
      <c r="C162" s="3" t="n">
        <v>3.12</v>
      </c>
      <c r="D162" s="3" t="n">
        <v>2.3</v>
      </c>
      <c r="E162" s="3" t="n">
        <v>0.01</v>
      </c>
    </row>
    <row r="163" customFormat="false" ht="15" hidden="false" customHeight="false" outlineLevel="0" collapsed="false">
      <c r="A163" s="4" t="s">
        <v>166</v>
      </c>
      <c r="B163" s="5" t="n">
        <v>-0.76</v>
      </c>
      <c r="C163" s="5" t="n">
        <v>-2.12</v>
      </c>
      <c r="D163" s="5" t="n">
        <v>-1.5</v>
      </c>
      <c r="E163" s="5" t="n">
        <v>0.01</v>
      </c>
    </row>
    <row r="164" customFormat="false" ht="15" hidden="false" customHeight="false" outlineLevel="0" collapsed="false">
      <c r="A164" s="2" t="s">
        <v>167</v>
      </c>
      <c r="B164" s="3" t="n">
        <v>2.54</v>
      </c>
      <c r="C164" s="3" t="n">
        <v>7.12</v>
      </c>
      <c r="D164" s="3" t="n">
        <v>5.3</v>
      </c>
      <c r="E164" s="3" t="n">
        <v>0.01</v>
      </c>
    </row>
    <row r="165" customFormat="false" ht="15" hidden="false" customHeight="false" outlineLevel="0" collapsed="false">
      <c r="A165" s="4" t="s">
        <v>168</v>
      </c>
      <c r="B165" s="5" t="n">
        <v>-1.54</v>
      </c>
      <c r="C165" s="5" t="n">
        <v>-4.12</v>
      </c>
      <c r="D165" s="5" t="n">
        <v>-3.1</v>
      </c>
      <c r="E165" s="5" t="n">
        <v>0.01</v>
      </c>
    </row>
    <row r="166" customFormat="false" ht="15" hidden="false" customHeight="false" outlineLevel="0" collapsed="false">
      <c r="A166" s="2" t="s">
        <v>169</v>
      </c>
      <c r="B166" s="3" t="n">
        <v>1.62</v>
      </c>
      <c r="C166" s="3" t="n">
        <v>4.43</v>
      </c>
      <c r="D166" s="3" t="n">
        <v>3.1</v>
      </c>
      <c r="E166" s="3" t="n">
        <v>0.01</v>
      </c>
    </row>
    <row r="167" customFormat="false" ht="15" hidden="false" customHeight="false" outlineLevel="0" collapsed="false">
      <c r="A167" s="4" t="s">
        <v>170</v>
      </c>
      <c r="B167" s="5" t="n">
        <v>2.34</v>
      </c>
      <c r="C167" s="5" t="n">
        <v>6.43</v>
      </c>
      <c r="D167" s="5" t="n">
        <v>4.6</v>
      </c>
      <c r="E167" s="5" t="n">
        <v>0.01</v>
      </c>
    </row>
    <row r="168" customFormat="false" ht="15" hidden="false" customHeight="false" outlineLevel="0" collapsed="false">
      <c r="A168" s="2" t="s">
        <v>171</v>
      </c>
      <c r="B168" s="3" t="n">
        <v>1.54</v>
      </c>
      <c r="C168" s="3" t="n">
        <v>4.12</v>
      </c>
      <c r="D168" s="3" t="n">
        <v>3</v>
      </c>
      <c r="E168" s="3" t="n">
        <v>0.01</v>
      </c>
    </row>
    <row r="169" customFormat="false" ht="15" hidden="false" customHeight="false" outlineLevel="0" collapsed="false">
      <c r="A169" s="4" t="s">
        <v>172</v>
      </c>
      <c r="B169" s="5" t="n">
        <v>1.34</v>
      </c>
      <c r="C169" s="5" t="n">
        <v>3.54</v>
      </c>
      <c r="D169" s="5" t="n">
        <v>2.6</v>
      </c>
      <c r="E169" s="5" t="n">
        <v>0.01</v>
      </c>
    </row>
    <row r="170" customFormat="false" ht="15" hidden="false" customHeight="false" outlineLevel="0" collapsed="false">
      <c r="A170" s="2" t="s">
        <v>173</v>
      </c>
      <c r="B170" s="3" t="n">
        <v>-1.73</v>
      </c>
      <c r="C170" s="3" t="n">
        <v>-4.87</v>
      </c>
      <c r="D170" s="3" t="n">
        <v>-3.6</v>
      </c>
      <c r="E170" s="3" t="n">
        <v>0.01</v>
      </c>
    </row>
    <row r="171" customFormat="false" ht="15" hidden="false" customHeight="false" outlineLevel="0" collapsed="false">
      <c r="A171" s="4" t="s">
        <v>174</v>
      </c>
      <c r="B171" s="5" t="n">
        <v>2.34</v>
      </c>
      <c r="C171" s="5" t="n">
        <v>6.43</v>
      </c>
      <c r="D171" s="5" t="n">
        <v>4.7</v>
      </c>
      <c r="E171" s="5" t="n">
        <v>0.01</v>
      </c>
    </row>
    <row r="172" customFormat="false" ht="15" hidden="false" customHeight="false" outlineLevel="0" collapsed="false">
      <c r="A172" s="2" t="s">
        <v>175</v>
      </c>
      <c r="B172" s="3" t="n">
        <v>0.43</v>
      </c>
      <c r="C172" s="3" t="n">
        <v>0.94</v>
      </c>
      <c r="D172" s="3" t="n">
        <v>0.7</v>
      </c>
      <c r="E172" s="3" t="n">
        <v>0.01</v>
      </c>
    </row>
    <row r="173" customFormat="false" ht="15" hidden="false" customHeight="false" outlineLevel="0" collapsed="false">
      <c r="A173" s="4" t="s">
        <v>176</v>
      </c>
      <c r="B173" s="5" t="n">
        <v>0.43</v>
      </c>
      <c r="C173" s="5" t="n">
        <v>0.94</v>
      </c>
      <c r="D173" s="5" t="n">
        <v>0.7</v>
      </c>
      <c r="E173" s="5" t="n">
        <v>0.01</v>
      </c>
    </row>
    <row r="174" customFormat="false" ht="15" hidden="false" customHeight="false" outlineLevel="0" collapsed="false">
      <c r="A174" s="2" t="s">
        <v>177</v>
      </c>
      <c r="B174" s="3" t="n">
        <v>1.12</v>
      </c>
      <c r="C174" s="3" t="n">
        <v>2.87</v>
      </c>
      <c r="D174" s="3" t="n">
        <v>2.1</v>
      </c>
      <c r="E174" s="3" t="n">
        <v>0.01</v>
      </c>
    </row>
    <row r="175" customFormat="false" ht="15" hidden="false" customHeight="false" outlineLevel="0" collapsed="false">
      <c r="A175" s="4" t="s">
        <v>178</v>
      </c>
      <c r="B175" s="5" t="n">
        <v>1.12</v>
      </c>
      <c r="C175" s="5" t="n">
        <v>2.87</v>
      </c>
      <c r="D175" s="5" t="n">
        <v>2.1</v>
      </c>
      <c r="E175" s="5" t="n">
        <v>0.01</v>
      </c>
    </row>
    <row r="176" customFormat="false" ht="15" hidden="false" customHeight="false" outlineLevel="0" collapsed="false">
      <c r="A176" s="2" t="s">
        <v>179</v>
      </c>
      <c r="B176" s="3" t="n">
        <v>-1.02</v>
      </c>
      <c r="C176" s="3" t="n">
        <v>-2.67</v>
      </c>
      <c r="D176" s="3" t="n">
        <v>-2</v>
      </c>
      <c r="E176" s="3" t="n">
        <v>0.01</v>
      </c>
    </row>
    <row r="177" customFormat="false" ht="15" hidden="false" customHeight="false" outlineLevel="0" collapsed="false">
      <c r="A177" s="4" t="s">
        <v>180</v>
      </c>
      <c r="B177" s="5" t="n">
        <v>2.12</v>
      </c>
      <c r="C177" s="5" t="n">
        <v>5.43</v>
      </c>
      <c r="D177" s="5" t="n">
        <v>4</v>
      </c>
      <c r="E177" s="5" t="n">
        <v>0.01</v>
      </c>
    </row>
    <row r="178" customFormat="false" ht="15" hidden="false" customHeight="false" outlineLevel="0" collapsed="false">
      <c r="A178" s="2" t="s">
        <v>181</v>
      </c>
      <c r="B178" s="3" t="n">
        <v>-0.87</v>
      </c>
      <c r="C178" s="3" t="n">
        <v>-2.12</v>
      </c>
      <c r="D178" s="3" t="n">
        <v>-1.6</v>
      </c>
      <c r="E178" s="3" t="n">
        <v>0.01</v>
      </c>
    </row>
    <row r="179" customFormat="false" ht="15" hidden="false" customHeight="false" outlineLevel="0" collapsed="false">
      <c r="A179" s="4" t="s">
        <v>182</v>
      </c>
      <c r="B179" s="5" t="n">
        <v>1.34</v>
      </c>
      <c r="C179" s="5" t="n">
        <v>3.12</v>
      </c>
      <c r="D179" s="5" t="n">
        <v>2.4</v>
      </c>
      <c r="E179" s="5" t="n">
        <v>0.01</v>
      </c>
    </row>
    <row r="180" customFormat="false" ht="15" hidden="false" customHeight="false" outlineLevel="0" collapsed="false">
      <c r="A180" s="2" t="s">
        <v>183</v>
      </c>
      <c r="B180" s="3" t="n">
        <v>1.43</v>
      </c>
      <c r="C180" s="3" t="n">
        <v>3.54</v>
      </c>
      <c r="D180" s="3" t="n">
        <v>2.7</v>
      </c>
      <c r="E180" s="3" t="n">
        <v>0.01</v>
      </c>
    </row>
    <row r="181" customFormat="false" ht="15" hidden="false" customHeight="false" outlineLevel="0" collapsed="false">
      <c r="A181" s="4" t="s">
        <v>184</v>
      </c>
      <c r="B181" s="5" t="n">
        <v>-0.23</v>
      </c>
      <c r="C181" s="5" t="n">
        <v>-0.54</v>
      </c>
      <c r="D181" s="5" t="n">
        <v>-0.4</v>
      </c>
      <c r="E181" s="5" t="n">
        <v>0.01</v>
      </c>
    </row>
    <row r="182" customFormat="false" ht="15" hidden="false" customHeight="false" outlineLevel="0" collapsed="false">
      <c r="A182" s="2" t="s">
        <v>185</v>
      </c>
      <c r="B182" s="3" t="n">
        <v>-1.43</v>
      </c>
      <c r="C182" s="3" t="n">
        <v>-3.87</v>
      </c>
      <c r="D182" s="3" t="n">
        <v>-2.9</v>
      </c>
      <c r="E182" s="3" t="n">
        <v>0.01</v>
      </c>
    </row>
    <row r="183" customFormat="false" ht="15" hidden="false" customHeight="false" outlineLevel="0" collapsed="false">
      <c r="A183" s="4" t="s">
        <v>186</v>
      </c>
      <c r="B183" s="5" t="n">
        <v>2.87</v>
      </c>
      <c r="C183" s="5" t="n">
        <v>7.87</v>
      </c>
      <c r="D183" s="5" t="n">
        <v>5.9</v>
      </c>
      <c r="E183" s="5" t="n">
        <v>0.01</v>
      </c>
    </row>
    <row r="184" customFormat="false" ht="15" hidden="false" customHeight="false" outlineLevel="0" collapsed="false">
      <c r="A184" s="2" t="s">
        <v>187</v>
      </c>
      <c r="B184" s="3" t="n">
        <v>-0.76</v>
      </c>
      <c r="C184" s="3" t="n">
        <v>-2.12</v>
      </c>
      <c r="D184" s="3" t="n">
        <v>-1.6</v>
      </c>
      <c r="E184" s="3" t="n">
        <v>0.01</v>
      </c>
    </row>
    <row r="185" customFormat="false" ht="15" hidden="false" customHeight="false" outlineLevel="0" collapsed="false">
      <c r="A185" s="4" t="s">
        <v>188</v>
      </c>
      <c r="B185" s="5" t="n">
        <v>0.54</v>
      </c>
      <c r="C185" s="5" t="n">
        <v>1.23</v>
      </c>
      <c r="D185" s="5" t="n">
        <v>0.9</v>
      </c>
      <c r="E185" s="5" t="n">
        <v>0.01</v>
      </c>
    </row>
    <row r="186" customFormat="false" ht="15" hidden="false" customHeight="false" outlineLevel="0" collapsed="false">
      <c r="A186" s="2" t="s">
        <v>189</v>
      </c>
      <c r="B186" s="3" t="n">
        <v>0.62</v>
      </c>
      <c r="C186" s="3" t="n">
        <v>1.73</v>
      </c>
      <c r="D186" s="3" t="n">
        <v>1.3</v>
      </c>
      <c r="E186" s="3" t="n">
        <v>0.01</v>
      </c>
    </row>
    <row r="187" customFormat="false" ht="15" hidden="false" customHeight="false" outlineLevel="0" collapsed="false">
      <c r="A187" s="4" t="s">
        <v>190</v>
      </c>
      <c r="B187" s="5" t="n">
        <v>-1.02</v>
      </c>
      <c r="C187" s="5" t="n">
        <v>-2.87</v>
      </c>
      <c r="D187" s="5" t="n">
        <v>-2.1</v>
      </c>
      <c r="E187" s="5" t="n">
        <v>0.01</v>
      </c>
    </row>
    <row r="188" customFormat="false" ht="15" hidden="false" customHeight="false" outlineLevel="0" collapsed="false">
      <c r="A188" s="2" t="s">
        <v>191</v>
      </c>
      <c r="B188" s="3" t="n">
        <v>1.12</v>
      </c>
      <c r="C188" s="3" t="n">
        <v>2.87</v>
      </c>
      <c r="D188" s="3" t="n">
        <v>2.2</v>
      </c>
      <c r="E188" s="3" t="n">
        <v>0.01</v>
      </c>
    </row>
    <row r="189" customFormat="false" ht="15" hidden="false" customHeight="false" outlineLevel="0" collapsed="false">
      <c r="A189" s="4" t="s">
        <v>192</v>
      </c>
      <c r="B189" s="5" t="n">
        <v>-3.12</v>
      </c>
      <c r="C189" s="5" t="n">
        <v>-8.43</v>
      </c>
      <c r="D189" s="5" t="n">
        <v>-6.3</v>
      </c>
      <c r="E189" s="5" t="n">
        <v>0.01</v>
      </c>
    </row>
    <row r="190" customFormat="false" ht="15" hidden="false" customHeight="false" outlineLevel="0" collapsed="false">
      <c r="A190" s="2" t="s">
        <v>193</v>
      </c>
      <c r="B190" s="3" t="n">
        <v>-1.34</v>
      </c>
      <c r="C190" s="3" t="n">
        <v>-3.54</v>
      </c>
      <c r="D190" s="3" t="n">
        <v>-2.7</v>
      </c>
      <c r="E190" s="3" t="n">
        <v>0.01</v>
      </c>
    </row>
    <row r="191" customFormat="false" ht="15" hidden="false" customHeight="false" outlineLevel="0" collapsed="false">
      <c r="A191" s="4" t="s">
        <v>194</v>
      </c>
      <c r="B191" s="5" t="n">
        <v>4.12</v>
      </c>
      <c r="C191" s="5" t="n">
        <v>11.23</v>
      </c>
      <c r="D191" s="5" t="n">
        <v>8.4</v>
      </c>
      <c r="E191" s="5" t="n">
        <v>0.01</v>
      </c>
    </row>
    <row r="192" customFormat="false" ht="15" hidden="false" customHeight="false" outlineLevel="0" collapsed="false">
      <c r="A192" s="2" t="s">
        <v>195</v>
      </c>
      <c r="B192" s="3" t="n">
        <v>0.23</v>
      </c>
      <c r="C192" s="3" t="n">
        <v>0.43</v>
      </c>
      <c r="D192" s="3" t="n">
        <v>0.3</v>
      </c>
      <c r="E192" s="3" t="n">
        <v>0.01</v>
      </c>
    </row>
    <row r="193" customFormat="false" ht="15" hidden="false" customHeight="false" outlineLevel="0" collapsed="false">
      <c r="A193" s="4" t="s">
        <v>196</v>
      </c>
      <c r="B193" s="5" t="n">
        <v>-0.87</v>
      </c>
      <c r="C193" s="5" t="n">
        <v>-2.23</v>
      </c>
      <c r="D193" s="5" t="n">
        <v>-1.7</v>
      </c>
      <c r="E193" s="5" t="n">
        <v>0.01</v>
      </c>
    </row>
    <row r="194" customFormat="false" ht="15" hidden="false" customHeight="false" outlineLevel="0" collapsed="false">
      <c r="A194" s="2" t="s">
        <v>197</v>
      </c>
      <c r="B194" s="3" t="n">
        <v>-2.67</v>
      </c>
      <c r="C194" s="3" t="n">
        <v>-7.43</v>
      </c>
      <c r="D194" s="3" t="n">
        <v>-5.6</v>
      </c>
      <c r="E194" s="3" t="n">
        <v>0.02</v>
      </c>
    </row>
    <row r="195" customFormat="false" ht="15" hidden="false" customHeight="false" outlineLevel="0" collapsed="false">
      <c r="A195" s="4" t="s">
        <v>198</v>
      </c>
      <c r="B195" s="5" t="n">
        <v>-0.12</v>
      </c>
      <c r="C195" s="5" t="n">
        <v>-0.23</v>
      </c>
      <c r="D195" s="5" t="n">
        <v>-0.1</v>
      </c>
      <c r="E195" s="5" t="n">
        <v>0.02</v>
      </c>
    </row>
    <row r="196" customFormat="false" ht="15" hidden="false" customHeight="false" outlineLevel="0" collapsed="false">
      <c r="A196" s="2" t="s">
        <v>199</v>
      </c>
      <c r="B196" s="3" t="n">
        <v>3.23</v>
      </c>
      <c r="C196" s="3" t="n">
        <v>9.12</v>
      </c>
      <c r="D196" s="3" t="n">
        <v>6.7</v>
      </c>
      <c r="E196" s="3" t="n">
        <v>0.02</v>
      </c>
    </row>
    <row r="197" customFormat="false" ht="15" hidden="false" customHeight="false" outlineLevel="0" collapsed="false">
      <c r="A197" s="4" t="s">
        <v>200</v>
      </c>
      <c r="B197" s="5" t="n">
        <v>0.23</v>
      </c>
      <c r="C197" s="5" t="n">
        <v>0.54</v>
      </c>
      <c r="D197" s="5" t="n">
        <v>0.4</v>
      </c>
      <c r="E197" s="5" t="n">
        <v>0.02</v>
      </c>
    </row>
    <row r="198" customFormat="false" ht="15" hidden="false" customHeight="false" outlineLevel="0" collapsed="false">
      <c r="A198" s="2" t="s">
        <v>201</v>
      </c>
      <c r="B198" s="3" t="n">
        <v>0.87</v>
      </c>
      <c r="C198" s="3" t="n">
        <v>2.43</v>
      </c>
      <c r="D198" s="3" t="n">
        <v>1.8</v>
      </c>
      <c r="E198" s="3" t="n">
        <v>0.02</v>
      </c>
    </row>
    <row r="199" customFormat="false" ht="15" hidden="false" customHeight="false" outlineLevel="0" collapsed="false">
      <c r="A199" s="4" t="s">
        <v>202</v>
      </c>
      <c r="B199" s="5" t="n">
        <v>0.23</v>
      </c>
      <c r="C199" s="5" t="n">
        <v>0.43</v>
      </c>
      <c r="D199" s="5" t="n">
        <v>0.2</v>
      </c>
      <c r="E199" s="5" t="n">
        <v>0.02</v>
      </c>
    </row>
    <row r="200" customFormat="false" ht="15" hidden="false" customHeight="false" outlineLevel="0" collapsed="false">
      <c r="A200" s="2" t="s">
        <v>203</v>
      </c>
      <c r="B200" s="3" t="n">
        <v>1.87</v>
      </c>
      <c r="C200" s="3" t="n">
        <v>5.12</v>
      </c>
      <c r="D200" s="3" t="n">
        <v>3.7</v>
      </c>
      <c r="E200" s="3" t="n">
        <v>0.02</v>
      </c>
    </row>
    <row r="201" customFormat="false" ht="15" hidden="false" customHeight="false" outlineLevel="0" collapsed="false">
      <c r="A201" s="4" t="s">
        <v>204</v>
      </c>
      <c r="B201" s="5" t="n">
        <v>0.12</v>
      </c>
      <c r="C201" s="5" t="n">
        <v>0.23</v>
      </c>
      <c r="D201" s="5" t="n">
        <v>0.1</v>
      </c>
      <c r="E201" s="5" t="n">
        <v>0.02</v>
      </c>
    </row>
    <row r="202" customFormat="false" ht="15" hidden="false" customHeight="false" outlineLevel="0" collapsed="false">
      <c r="A202" s="2" t="s">
        <v>205</v>
      </c>
      <c r="B202" s="3" t="n">
        <v>0.12</v>
      </c>
      <c r="C202" s="3" t="n">
        <v>0.23</v>
      </c>
      <c r="D202" s="3" t="n">
        <v>0</v>
      </c>
      <c r="E202" s="3" t="n">
        <v>0.02</v>
      </c>
    </row>
    <row r="203" customFormat="false" ht="15" hidden="false" customHeight="false" outlineLevel="0" collapsed="false">
      <c r="A203" s="4" t="s">
        <v>206</v>
      </c>
      <c r="B203" s="5" t="n">
        <v>-0.94</v>
      </c>
      <c r="C203" s="5" t="n">
        <v>-2.54</v>
      </c>
      <c r="D203" s="5" t="n">
        <v>-1.9</v>
      </c>
      <c r="E203" s="5" t="n">
        <v>0.02</v>
      </c>
    </row>
    <row r="204" customFormat="false" ht="15" hidden="false" customHeight="false" outlineLevel="0" collapsed="false">
      <c r="A204" s="2" t="s">
        <v>207</v>
      </c>
      <c r="B204" s="3" t="n">
        <v>1.87</v>
      </c>
      <c r="C204" s="3" t="n">
        <v>5.12</v>
      </c>
      <c r="D204" s="3" t="n">
        <v>3.7</v>
      </c>
      <c r="E204" s="3" t="n">
        <v>0.02</v>
      </c>
    </row>
    <row r="205" customFormat="false" ht="15" hidden="false" customHeight="false" outlineLevel="0" collapsed="false">
      <c r="A205" s="4" t="s">
        <v>208</v>
      </c>
      <c r="B205" s="5" t="n">
        <v>1.02</v>
      </c>
      <c r="C205" s="5" t="n">
        <v>2.67</v>
      </c>
      <c r="D205" s="5" t="n">
        <v>2</v>
      </c>
      <c r="E205" s="5" t="n">
        <v>0.02</v>
      </c>
    </row>
    <row r="206" customFormat="false" ht="15" hidden="false" customHeight="false" outlineLevel="0" collapsed="false">
      <c r="A206" s="2" t="s">
        <v>209</v>
      </c>
      <c r="B206" s="3" t="n">
        <v>0.94</v>
      </c>
      <c r="C206" s="3" t="n">
        <v>2.67</v>
      </c>
      <c r="D206" s="3" t="n">
        <v>1.9</v>
      </c>
      <c r="E206" s="3" t="n">
        <v>0.04</v>
      </c>
    </row>
    <row r="207" customFormat="false" ht="15" hidden="false" customHeight="false" outlineLevel="0" collapsed="false">
      <c r="A207" s="4" t="s">
        <v>210</v>
      </c>
      <c r="B207" s="5" t="n">
        <v>1.94</v>
      </c>
      <c r="C207" s="5" t="n">
        <v>5.43</v>
      </c>
      <c r="D207" s="5" t="n">
        <v>3.8</v>
      </c>
      <c r="E207" s="5" t="n">
        <v>0.04</v>
      </c>
    </row>
    <row r="208" customFormat="false" ht="15" hidden="false" customHeight="false" outlineLevel="0" collapsed="false">
      <c r="A208" s="2" t="s">
        <v>211</v>
      </c>
      <c r="B208" s="3" t="n">
        <v>0.12</v>
      </c>
      <c r="C208" s="3" t="n">
        <v>0.23</v>
      </c>
      <c r="D208" s="3" t="n">
        <v>0.1</v>
      </c>
      <c r="E208" s="3" t="n">
        <v>0.04</v>
      </c>
    </row>
    <row r="209" customFormat="false" ht="15" hidden="false" customHeight="false" outlineLevel="0" collapsed="false">
      <c r="A209" s="4" t="s">
        <v>212</v>
      </c>
      <c r="B209" s="5" t="n">
        <v>0.54</v>
      </c>
      <c r="C209" s="5" t="n">
        <v>1.54</v>
      </c>
      <c r="D209" s="5" t="n">
        <v>1.1</v>
      </c>
      <c r="E209" s="5" t="n">
        <v>0.06</v>
      </c>
    </row>
    <row r="210" customFormat="false" ht="15" hidden="false" customHeight="false" outlineLevel="0" collapsed="false">
      <c r="A210" s="2" t="s">
        <v>213</v>
      </c>
      <c r="B210" s="3" t="n">
        <v>0.62</v>
      </c>
      <c r="C210" s="3" t="n">
        <v>1.73</v>
      </c>
      <c r="D210" s="3" t="n">
        <v>1.3</v>
      </c>
      <c r="E210" s="3" t="n">
        <v>0.07</v>
      </c>
    </row>
    <row r="211" customFormat="false" ht="15" hidden="false" customHeight="false" outlineLevel="0" collapsed="false">
      <c r="A211" s="4" t="s">
        <v>214</v>
      </c>
      <c r="B211" s="5" t="n">
        <v>0.34</v>
      </c>
      <c r="C211" s="5" t="n">
        <v>0.87</v>
      </c>
      <c r="D211" s="5" t="n">
        <v>0.6</v>
      </c>
      <c r="E211" s="5" t="n">
        <v>0.08</v>
      </c>
    </row>
    <row r="212" customFormat="false" ht="15" hidden="false" customHeight="false" outlineLevel="0" collapsed="false">
      <c r="A212" s="2" t="s">
        <v>215</v>
      </c>
      <c r="B212" s="3" t="n">
        <v>1.12</v>
      </c>
      <c r="C212" s="3" t="n">
        <v>2.87</v>
      </c>
      <c r="D212" s="3" t="n">
        <v>2.1</v>
      </c>
      <c r="E212" s="3" t="n">
        <v>0.09</v>
      </c>
    </row>
    <row r="213" customFormat="false" ht="15" hidden="false" customHeight="false" outlineLevel="0" collapsed="false">
      <c r="A213" s="4" t="s">
        <v>216</v>
      </c>
      <c r="B213" s="5" t="n">
        <v>0.23</v>
      </c>
      <c r="C213" s="5" t="n">
        <v>0.43</v>
      </c>
      <c r="D213" s="5" t="n">
        <v>0.3</v>
      </c>
      <c r="E213" s="5" t="n">
        <v>0.09</v>
      </c>
    </row>
    <row r="214" customFormat="false" ht="15" hidden="false" customHeight="false" outlineLevel="0" collapsed="false">
      <c r="A214" s="2" t="s">
        <v>217</v>
      </c>
      <c r="B214" s="3" t="n">
        <v>1.02</v>
      </c>
      <c r="C214" s="3" t="n">
        <v>2.67</v>
      </c>
      <c r="D214" s="3" t="n">
        <v>2</v>
      </c>
      <c r="E214" s="3" t="n">
        <v>0.09</v>
      </c>
    </row>
    <row r="215" customFormat="false" ht="15" hidden="false" customHeight="false" outlineLevel="0" collapsed="false">
      <c r="A215" s="4" t="s">
        <v>218</v>
      </c>
      <c r="B215" s="5" t="n">
        <v>1.23</v>
      </c>
      <c r="C215" s="5" t="n">
        <v>3.12</v>
      </c>
      <c r="D215" s="5" t="n">
        <v>2.3</v>
      </c>
      <c r="E215" s="5" t="n">
        <v>0.09</v>
      </c>
    </row>
    <row r="216" customFormat="false" ht="15" hidden="false" customHeight="false" outlineLevel="0" collapsed="false">
      <c r="A216" s="2" t="s">
        <v>219</v>
      </c>
      <c r="B216" s="3" t="n">
        <v>1.62</v>
      </c>
      <c r="C216" s="3" t="n">
        <v>4.43</v>
      </c>
      <c r="D216" s="3" t="n">
        <v>3.1</v>
      </c>
      <c r="E216" s="3" t="n">
        <v>0.09</v>
      </c>
    </row>
    <row r="217" customFormat="false" ht="15" hidden="false" customHeight="false" outlineLevel="0" collapsed="false">
      <c r="A217" s="4" t="s">
        <v>220</v>
      </c>
      <c r="B217" s="5" t="n">
        <v>0.62</v>
      </c>
      <c r="C217" s="5" t="n">
        <v>1.54</v>
      </c>
      <c r="D217" s="5" t="n">
        <v>1.1</v>
      </c>
      <c r="E217" s="5" t="n">
        <v>0.1</v>
      </c>
    </row>
    <row r="218" customFormat="false" ht="15" hidden="false" customHeight="false" outlineLevel="0" collapsed="false">
      <c r="A218" s="2" t="s">
        <v>221</v>
      </c>
      <c r="B218" s="3" t="n">
        <v>2.87</v>
      </c>
      <c r="C218" s="3" t="n">
        <v>7.87</v>
      </c>
      <c r="D218" s="3" t="n">
        <v>5.7</v>
      </c>
      <c r="E218" s="3" t="n">
        <v>0.11</v>
      </c>
    </row>
    <row r="219" customFormat="false" ht="15" hidden="false" customHeight="false" outlineLevel="0" collapsed="false">
      <c r="A219" s="4" t="s">
        <v>222</v>
      </c>
      <c r="B219" s="5" t="n">
        <v>-1.73</v>
      </c>
      <c r="C219" s="5" t="n">
        <v>-5.23</v>
      </c>
      <c r="D219" s="5" t="n">
        <v>-3.8</v>
      </c>
      <c r="E219" s="5" t="n">
        <v>0.13</v>
      </c>
    </row>
    <row r="220" customFormat="false" ht="15" hidden="false" customHeight="false" outlineLevel="0" collapsed="false">
      <c r="A220" s="2" t="s">
        <v>223</v>
      </c>
      <c r="B220" s="3" t="n">
        <v>-1.23</v>
      </c>
      <c r="C220" s="3" t="n">
        <v>-3.54</v>
      </c>
      <c r="D220" s="3" t="n">
        <v>-2.6</v>
      </c>
      <c r="E220" s="3" t="n">
        <v>0.14</v>
      </c>
    </row>
    <row r="221" customFormat="false" ht="15" hidden="false" customHeight="false" outlineLevel="0" collapsed="false">
      <c r="A221" s="4" t="s">
        <v>224</v>
      </c>
      <c r="B221" s="5" t="n">
        <v>0.23</v>
      </c>
      <c r="C221" s="5" t="n">
        <v>0.54</v>
      </c>
      <c r="D221" s="5" t="n">
        <v>0.4</v>
      </c>
      <c r="E221" s="5" t="n">
        <v>0.14</v>
      </c>
    </row>
    <row r="222" customFormat="false" ht="15" hidden="false" customHeight="false" outlineLevel="0" collapsed="false">
      <c r="A222" s="2" t="s">
        <v>225</v>
      </c>
      <c r="B222" s="3" t="n">
        <v>1.12</v>
      </c>
      <c r="C222" s="3" t="n">
        <v>3.12</v>
      </c>
      <c r="D222" s="3" t="n">
        <v>2.4</v>
      </c>
      <c r="E222" s="3" t="n">
        <v>0.15</v>
      </c>
    </row>
    <row r="223" customFormat="false" ht="15" hidden="false" customHeight="false" outlineLevel="0" collapsed="false">
      <c r="A223" s="4" t="s">
        <v>226</v>
      </c>
      <c r="B223" s="5" t="n">
        <v>0.34</v>
      </c>
      <c r="C223" s="5" t="n">
        <v>0.87</v>
      </c>
      <c r="D223" s="5" t="n">
        <v>0.6</v>
      </c>
      <c r="E223" s="5" t="n">
        <v>0.16</v>
      </c>
    </row>
    <row r="224" customFormat="false" ht="15" hidden="false" customHeight="false" outlineLevel="0" collapsed="false">
      <c r="A224" s="2" t="s">
        <v>227</v>
      </c>
      <c r="B224" s="3" t="n">
        <v>1.87</v>
      </c>
      <c r="C224" s="3" t="n">
        <v>5.12</v>
      </c>
      <c r="D224" s="3" t="n">
        <v>3.7</v>
      </c>
      <c r="E224" s="3" t="n">
        <v>0.16</v>
      </c>
    </row>
    <row r="225" customFormat="false" ht="15" hidden="false" customHeight="false" outlineLevel="0" collapsed="false">
      <c r="A225" s="4" t="s">
        <v>228</v>
      </c>
      <c r="B225" s="5" t="n">
        <v>1.73</v>
      </c>
      <c r="C225" s="5" t="n">
        <v>4.43</v>
      </c>
      <c r="D225" s="5" t="n">
        <v>3.3</v>
      </c>
      <c r="E225" s="5" t="n">
        <v>0.16</v>
      </c>
    </row>
    <row r="226" customFormat="false" ht="15" hidden="false" customHeight="false" outlineLevel="0" collapsed="false">
      <c r="A226" s="2" t="s">
        <v>229</v>
      </c>
      <c r="B226" s="3" t="n">
        <v>0.34</v>
      </c>
      <c r="C226" s="3" t="n">
        <v>0.87</v>
      </c>
      <c r="D226" s="3" t="n">
        <v>0.6</v>
      </c>
      <c r="E226" s="3" t="n">
        <v>0.17</v>
      </c>
    </row>
    <row r="227" customFormat="false" ht="15" hidden="false" customHeight="false" outlineLevel="0" collapsed="false">
      <c r="A227" s="4" t="s">
        <v>230</v>
      </c>
      <c r="B227" s="5" t="n">
        <v>-3.43</v>
      </c>
      <c r="C227" s="5" t="n">
        <v>-9.87</v>
      </c>
      <c r="D227" s="5" t="n">
        <v>-7.1</v>
      </c>
      <c r="E227" s="5" t="n">
        <v>0.18</v>
      </c>
    </row>
    <row r="228" customFormat="false" ht="15" hidden="false" customHeight="false" outlineLevel="0" collapsed="false">
      <c r="A228" s="2" t="s">
        <v>231</v>
      </c>
      <c r="B228" s="3" t="n">
        <v>-0.94</v>
      </c>
      <c r="C228" s="3" t="n">
        <v>-2.67</v>
      </c>
      <c r="D228" s="3" t="n">
        <v>-2</v>
      </c>
      <c r="E228" s="3" t="n">
        <v>0.18</v>
      </c>
    </row>
    <row r="229" customFormat="false" ht="15" hidden="false" customHeight="false" outlineLevel="0" collapsed="false">
      <c r="A229" s="4" t="s">
        <v>232</v>
      </c>
      <c r="B229" s="5" t="n">
        <v>-4.43</v>
      </c>
      <c r="C229" s="5" t="n">
        <v>-12.87</v>
      </c>
      <c r="D229" s="5" t="n">
        <v>-9.2</v>
      </c>
      <c r="E229" s="5" t="n">
        <v>0.19</v>
      </c>
    </row>
    <row r="230" customFormat="false" ht="15" hidden="false" customHeight="false" outlineLevel="0" collapsed="false">
      <c r="A230" s="2" t="s">
        <v>233</v>
      </c>
      <c r="B230" s="3" t="n">
        <v>3.87</v>
      </c>
      <c r="C230" s="3" t="n">
        <v>11.23</v>
      </c>
      <c r="D230" s="3" t="n">
        <v>8.1</v>
      </c>
      <c r="E230" s="3" t="n">
        <v>0.19</v>
      </c>
    </row>
    <row r="231" customFormat="false" ht="15" hidden="false" customHeight="false" outlineLevel="0" collapsed="false">
      <c r="A231" s="4" t="s">
        <v>234</v>
      </c>
      <c r="B231" s="5" t="n">
        <v>1.62</v>
      </c>
      <c r="C231" s="5" t="n">
        <v>4.43</v>
      </c>
      <c r="D231" s="5" t="n">
        <v>3.2</v>
      </c>
      <c r="E231" s="5" t="n">
        <v>0.19</v>
      </c>
    </row>
    <row r="232" customFormat="false" ht="15" hidden="false" customHeight="false" outlineLevel="0" collapsed="false">
      <c r="A232" s="2" t="s">
        <v>235</v>
      </c>
      <c r="B232" s="3" t="n">
        <v>0.94</v>
      </c>
      <c r="C232" s="3" t="n">
        <v>2.67</v>
      </c>
      <c r="D232" s="3" t="n">
        <v>1.9</v>
      </c>
      <c r="E232" s="3" t="n">
        <v>0.19</v>
      </c>
    </row>
    <row r="233" customFormat="false" ht="15" hidden="false" customHeight="false" outlineLevel="0" collapsed="false">
      <c r="A233" s="4" t="s">
        <v>236</v>
      </c>
      <c r="B233" s="5" t="n">
        <v>2.12</v>
      </c>
      <c r="C233" s="5" t="n">
        <v>5.43</v>
      </c>
      <c r="D233" s="5" t="n">
        <v>4</v>
      </c>
      <c r="E233" s="5" t="n">
        <v>0.19</v>
      </c>
    </row>
    <row r="234" customFormat="false" ht="15" hidden="false" customHeight="false" outlineLevel="0" collapsed="false">
      <c r="A234" s="2" t="s">
        <v>237</v>
      </c>
      <c r="B234" s="3" t="n">
        <v>-3.23</v>
      </c>
      <c r="C234" s="3" t="n">
        <v>-8.87</v>
      </c>
      <c r="D234" s="3" t="n">
        <v>-6.6</v>
      </c>
      <c r="E234" s="3" t="n">
        <v>0.19</v>
      </c>
    </row>
    <row r="235" customFormat="false" ht="15" hidden="false" customHeight="false" outlineLevel="0" collapsed="false">
      <c r="A235" s="4" t="s">
        <v>238</v>
      </c>
      <c r="B235" s="5" t="n">
        <v>3.34</v>
      </c>
      <c r="C235" s="5" t="n">
        <v>9.43</v>
      </c>
      <c r="D235" s="5" t="n">
        <v>6.9</v>
      </c>
      <c r="E235" s="5" t="n">
        <v>0.19</v>
      </c>
    </row>
    <row r="236" customFormat="false" ht="15" hidden="false" customHeight="false" outlineLevel="0" collapsed="false">
      <c r="A236" s="2" t="s">
        <v>239</v>
      </c>
      <c r="B236" s="3" t="n">
        <v>0.73</v>
      </c>
      <c r="C236" s="3" t="n">
        <v>1.87</v>
      </c>
      <c r="D236" s="3" t="n">
        <v>1.4</v>
      </c>
      <c r="E236" s="3" t="n">
        <v>0.18</v>
      </c>
    </row>
    <row r="237" customFormat="false" ht="15" hidden="false" customHeight="false" outlineLevel="0" collapsed="false">
      <c r="A237" s="4" t="s">
        <v>240</v>
      </c>
      <c r="B237" s="5" t="n">
        <v>-1.02</v>
      </c>
      <c r="C237" s="5" t="n">
        <v>-2.87</v>
      </c>
      <c r="D237" s="5" t="n">
        <v>-2.1</v>
      </c>
      <c r="E237" s="5" t="n">
        <v>0.18</v>
      </c>
    </row>
    <row r="238" customFormat="false" ht="15" hidden="false" customHeight="false" outlineLevel="0" collapsed="false">
      <c r="A238" s="2" t="s">
        <v>241</v>
      </c>
      <c r="B238" s="3" t="n">
        <v>0.94</v>
      </c>
      <c r="C238" s="3" t="n">
        <v>2.67</v>
      </c>
      <c r="D238" s="3" t="n">
        <v>1.9</v>
      </c>
      <c r="E238" s="3" t="n">
        <v>0.17</v>
      </c>
    </row>
    <row r="239" customFormat="false" ht="15" hidden="false" customHeight="false" outlineLevel="0" collapsed="false">
      <c r="A239" s="4" t="s">
        <v>242</v>
      </c>
      <c r="B239" s="5" t="n">
        <v>1.12</v>
      </c>
      <c r="C239" s="5" t="n">
        <v>2.87</v>
      </c>
      <c r="D239" s="5" t="n">
        <v>2.2</v>
      </c>
      <c r="E239" s="5" t="n">
        <v>0.15</v>
      </c>
    </row>
    <row r="240" customFormat="false" ht="15" hidden="false" customHeight="false" outlineLevel="0" collapsed="false">
      <c r="A240" s="2" t="s">
        <v>243</v>
      </c>
      <c r="B240" s="3" t="n">
        <v>1.87</v>
      </c>
      <c r="C240" s="3" t="n">
        <v>5.12</v>
      </c>
      <c r="D240" s="3" t="n">
        <v>3.7</v>
      </c>
      <c r="E240" s="3" t="n">
        <v>0.13</v>
      </c>
    </row>
    <row r="241" customFormat="false" ht="15" hidden="false" customHeight="false" outlineLevel="0" collapsed="false">
      <c r="A241" s="4" t="s">
        <v>244</v>
      </c>
      <c r="B241" s="5" t="n">
        <v>1.43</v>
      </c>
      <c r="C241" s="5" t="n">
        <v>3.87</v>
      </c>
      <c r="D241" s="5" t="n">
        <v>2.9</v>
      </c>
      <c r="E241" s="5" t="n">
        <v>0.13</v>
      </c>
    </row>
    <row r="242" customFormat="false" ht="15" hidden="false" customHeight="false" outlineLevel="0" collapsed="false">
      <c r="A242" s="2" t="s">
        <v>245</v>
      </c>
      <c r="B242" s="3" t="n">
        <v>-0.12</v>
      </c>
      <c r="C242" s="3" t="n">
        <v>-0.23</v>
      </c>
      <c r="D242" s="3" t="n">
        <v>-0.2</v>
      </c>
      <c r="E242" s="3" t="n">
        <v>0.13</v>
      </c>
    </row>
    <row r="243" customFormat="false" ht="15" hidden="false" customHeight="false" outlineLevel="0" collapsed="false">
      <c r="A243" s="4" t="s">
        <v>246</v>
      </c>
      <c r="B243" s="5" t="n">
        <v>-4.12</v>
      </c>
      <c r="C243" s="5" t="n">
        <v>-11.43</v>
      </c>
      <c r="D243" s="5" t="n">
        <v>-8.4</v>
      </c>
      <c r="E243" s="5" t="n">
        <v>0.11</v>
      </c>
    </row>
    <row r="244" customFormat="false" ht="15" hidden="false" customHeight="false" outlineLevel="0" collapsed="false">
      <c r="A244" s="2" t="s">
        <v>247</v>
      </c>
      <c r="B244" s="3" t="n">
        <v>-6.43</v>
      </c>
      <c r="C244" s="3" t="n">
        <v>-19.87</v>
      </c>
      <c r="D244" s="3" t="n">
        <v>-13.5</v>
      </c>
      <c r="E244" s="3" t="n">
        <v>0.06</v>
      </c>
    </row>
    <row r="245" customFormat="false" ht="15" hidden="false" customHeight="false" outlineLevel="0" collapsed="false">
      <c r="A245" s="4" t="s">
        <v>248</v>
      </c>
      <c r="B245" s="5" t="n">
        <v>6.23</v>
      </c>
      <c r="C245" s="5" t="n">
        <v>18.43</v>
      </c>
      <c r="D245" s="5" t="n">
        <v>13.1</v>
      </c>
      <c r="E245" s="5" t="n">
        <v>0.01</v>
      </c>
    </row>
    <row r="246" customFormat="false" ht="15" hidden="false" customHeight="false" outlineLevel="0" collapsed="false">
      <c r="A246" s="2" t="s">
        <v>249</v>
      </c>
      <c r="B246" s="3" t="n">
        <v>2.87</v>
      </c>
      <c r="C246" s="3" t="n">
        <v>8.12</v>
      </c>
      <c r="D246" s="3" t="n">
        <v>5.8</v>
      </c>
      <c r="E246" s="3" t="n">
        <v>0.01</v>
      </c>
    </row>
    <row r="247" customFormat="false" ht="15" hidden="false" customHeight="false" outlineLevel="0" collapsed="false">
      <c r="A247" s="4" t="s">
        <v>250</v>
      </c>
      <c r="B247" s="5" t="n">
        <v>0.94</v>
      </c>
      <c r="C247" s="5" t="n">
        <v>2.87</v>
      </c>
      <c r="D247" s="5" t="n">
        <v>2</v>
      </c>
      <c r="E247" s="5" t="n">
        <v>0.01</v>
      </c>
    </row>
    <row r="248" customFormat="false" ht="15" hidden="false" customHeight="false" outlineLevel="0" collapsed="false">
      <c r="A248" s="2" t="s">
        <v>251</v>
      </c>
      <c r="B248" s="3" t="n">
        <v>2.67</v>
      </c>
      <c r="C248" s="3" t="n">
        <v>7.87</v>
      </c>
      <c r="D248" s="3" t="n">
        <v>5.7</v>
      </c>
      <c r="E248" s="3" t="n">
        <v>0.01</v>
      </c>
    </row>
    <row r="249" customFormat="false" ht="15" hidden="false" customHeight="false" outlineLevel="0" collapsed="false">
      <c r="A249" s="4" t="s">
        <v>252</v>
      </c>
      <c r="B249" s="5" t="n">
        <v>3.43</v>
      </c>
      <c r="C249" s="5" t="n">
        <v>9.87</v>
      </c>
      <c r="D249" s="5" t="n">
        <v>7.2</v>
      </c>
      <c r="E249" s="5" t="n">
        <v>0.01</v>
      </c>
    </row>
    <row r="250" customFormat="false" ht="15" hidden="false" customHeight="false" outlineLevel="0" collapsed="false">
      <c r="A250" s="2" t="s">
        <v>253</v>
      </c>
      <c r="B250" s="3" t="n">
        <v>-1.87</v>
      </c>
      <c r="C250" s="3" t="n">
        <v>-5.43</v>
      </c>
      <c r="D250" s="3" t="n">
        <v>-3.8</v>
      </c>
      <c r="E250" s="3" t="n">
        <v>0.01</v>
      </c>
    </row>
    <row r="251" customFormat="false" ht="15" hidden="false" customHeight="false" outlineLevel="0" collapsed="false">
      <c r="A251" s="4" t="s">
        <v>254</v>
      </c>
      <c r="B251" s="5" t="n">
        <v>-1.34</v>
      </c>
      <c r="C251" s="5" t="n">
        <v>-3.87</v>
      </c>
      <c r="D251" s="5" t="n">
        <v>-2.8</v>
      </c>
      <c r="E251" s="5" t="n">
        <v>0.01</v>
      </c>
    </row>
    <row r="252" customFormat="false" ht="15" hidden="false" customHeight="false" outlineLevel="0" collapsed="false">
      <c r="A252" s="2" t="s">
        <v>255</v>
      </c>
      <c r="B252" s="3" t="n">
        <v>5.12</v>
      </c>
      <c r="C252" s="3" t="n">
        <v>14.87</v>
      </c>
      <c r="D252" s="3" t="n">
        <v>10.9</v>
      </c>
      <c r="E252" s="3" t="n">
        <v>0.01</v>
      </c>
    </row>
    <row r="253" customFormat="false" ht="15" hidden="false" customHeight="false" outlineLevel="0" collapsed="false">
      <c r="A253" s="4" t="s">
        <v>256</v>
      </c>
      <c r="B253" s="5" t="n">
        <v>1.87</v>
      </c>
      <c r="C253" s="5" t="n">
        <v>5.43</v>
      </c>
      <c r="D253" s="5" t="n">
        <v>3.8</v>
      </c>
      <c r="E253" s="5" t="n">
        <v>0.01</v>
      </c>
    </row>
    <row r="254" customFormat="false" ht="15" hidden="false" customHeight="false" outlineLevel="0" collapsed="false">
      <c r="A254" s="2" t="s">
        <v>257</v>
      </c>
      <c r="B254" s="3" t="n">
        <v>-0.54</v>
      </c>
      <c r="C254" s="3" t="n">
        <v>-1.43</v>
      </c>
      <c r="D254" s="3" t="n">
        <v>-1</v>
      </c>
      <c r="E254" s="3" t="n">
        <v>0.01</v>
      </c>
    </row>
    <row r="255" customFormat="false" ht="15" hidden="false" customHeight="false" outlineLevel="0" collapsed="false">
      <c r="A255" s="4" t="s">
        <v>258</v>
      </c>
      <c r="B255" s="5" t="n">
        <v>1.43</v>
      </c>
      <c r="C255" s="5" t="n">
        <v>3.87</v>
      </c>
      <c r="D255" s="5" t="n">
        <v>2.8</v>
      </c>
      <c r="E255" s="5" t="n">
        <v>0.01</v>
      </c>
    </row>
    <row r="256" customFormat="false" ht="15" hidden="false" customHeight="false" outlineLevel="0" collapsed="false">
      <c r="A256" s="2" t="s">
        <v>259</v>
      </c>
      <c r="B256" s="3" t="n">
        <v>2.23</v>
      </c>
      <c r="C256" s="3" t="n">
        <v>6.12</v>
      </c>
      <c r="D256" s="3" t="n">
        <v>4.4</v>
      </c>
      <c r="E256" s="3" t="n">
        <v>0.01</v>
      </c>
    </row>
    <row r="257" customFormat="false" ht="15" hidden="false" customHeight="false" outlineLevel="0" collapsed="false">
      <c r="A257" s="4" t="s">
        <v>260</v>
      </c>
      <c r="B257" s="5" t="n">
        <v>2.67</v>
      </c>
      <c r="C257" s="5" t="n">
        <v>7.43</v>
      </c>
      <c r="D257" s="5" t="n">
        <v>5.3</v>
      </c>
      <c r="E257" s="5" t="n">
        <v>0.01</v>
      </c>
    </row>
    <row r="258" customFormat="false" ht="15" hidden="false" customHeight="false" outlineLevel="0" collapsed="false">
      <c r="A258" s="2" t="s">
        <v>261</v>
      </c>
      <c r="B258" s="3" t="n">
        <v>0.43</v>
      </c>
      <c r="C258" s="3" t="n">
        <v>0.94</v>
      </c>
      <c r="D258" s="3" t="n">
        <v>0.7</v>
      </c>
      <c r="E258" s="3" t="n">
        <v>0.01</v>
      </c>
    </row>
    <row r="259" customFormat="false" ht="15" hidden="false" customHeight="false" outlineLevel="0" collapsed="false">
      <c r="A259" s="4" t="s">
        <v>262</v>
      </c>
      <c r="B259" s="5" t="n">
        <v>1.23</v>
      </c>
      <c r="C259" s="5" t="n">
        <v>3.12</v>
      </c>
      <c r="D259" s="5" t="n">
        <v>2.3</v>
      </c>
      <c r="E259" s="5" t="n">
        <v>0.01</v>
      </c>
    </row>
    <row r="260" customFormat="false" ht="15" hidden="false" customHeight="false" outlineLevel="0" collapsed="false">
      <c r="A260" s="2" t="s">
        <v>263</v>
      </c>
      <c r="B260" s="3" t="n">
        <v>1.23</v>
      </c>
      <c r="C260" s="3" t="n">
        <v>3.12</v>
      </c>
      <c r="D260" s="3" t="n">
        <v>2.4</v>
      </c>
      <c r="E260" s="3" t="n">
        <v>0.01</v>
      </c>
    </row>
    <row r="261" customFormat="false" ht="15" hidden="false" customHeight="false" outlineLevel="0" collapsed="false">
      <c r="A261" s="4" t="s">
        <v>264</v>
      </c>
      <c r="B261" s="5" t="n">
        <v>1.54</v>
      </c>
      <c r="C261" s="5" t="n">
        <v>4.12</v>
      </c>
      <c r="D261" s="5" t="n">
        <v>3</v>
      </c>
      <c r="E261" s="5" t="n">
        <v>0.01</v>
      </c>
    </row>
    <row r="262" customFormat="false" ht="15" hidden="false" customHeight="false" outlineLevel="0" collapsed="false">
      <c r="A262" s="2" t="s">
        <v>265</v>
      </c>
      <c r="B262" s="3" t="n">
        <v>-2.34</v>
      </c>
      <c r="C262" s="3" t="n">
        <v>-6.43</v>
      </c>
      <c r="D262" s="3" t="n">
        <v>-4.7</v>
      </c>
      <c r="E262" s="3" t="n">
        <v>0.01</v>
      </c>
    </row>
    <row r="263" customFormat="false" ht="15" hidden="false" customHeight="false" outlineLevel="0" collapsed="false">
      <c r="A263" s="4" t="s">
        <v>266</v>
      </c>
      <c r="B263" s="5" t="n">
        <v>3.54</v>
      </c>
      <c r="C263" s="5" t="n">
        <v>9.43</v>
      </c>
      <c r="D263" s="5" t="n">
        <v>7</v>
      </c>
      <c r="E263" s="5" t="n">
        <v>0.01</v>
      </c>
    </row>
    <row r="264" customFormat="false" ht="15" hidden="false" customHeight="false" outlineLevel="0" collapsed="false">
      <c r="A264" s="2" t="s">
        <v>267</v>
      </c>
      <c r="B264" s="3" t="n">
        <v>-0.43</v>
      </c>
      <c r="C264" s="3" t="n">
        <v>-1.12</v>
      </c>
      <c r="D264" s="3" t="n">
        <v>-0.8</v>
      </c>
      <c r="E264" s="3" t="n">
        <v>0.01</v>
      </c>
    </row>
    <row r="265" customFormat="false" ht="15" hidden="false" customHeight="false" outlineLevel="0" collapsed="false">
      <c r="A265" s="4" t="s">
        <v>268</v>
      </c>
      <c r="B265" s="5" t="n">
        <v>2.34</v>
      </c>
      <c r="C265" s="5" t="n">
        <v>6.12</v>
      </c>
      <c r="D265" s="5" t="n">
        <v>4.5</v>
      </c>
      <c r="E265" s="5" t="n">
        <v>0.01</v>
      </c>
    </row>
    <row r="266" customFormat="false" ht="15" hidden="false" customHeight="false" outlineLevel="0" collapsed="false">
      <c r="A266" s="2" t="s">
        <v>269</v>
      </c>
      <c r="B266" s="3" t="n">
        <v>-2.54</v>
      </c>
      <c r="C266" s="3" t="n">
        <v>-7.12</v>
      </c>
      <c r="D266" s="3" t="n">
        <v>-5.2</v>
      </c>
      <c r="E266" s="3" t="n">
        <v>0.01</v>
      </c>
    </row>
    <row r="267" customFormat="false" ht="15" hidden="false" customHeight="false" outlineLevel="0" collapsed="false">
      <c r="A267" s="4" t="s">
        <v>270</v>
      </c>
      <c r="B267" s="5" t="n">
        <v>-1.43</v>
      </c>
      <c r="C267" s="5" t="n">
        <v>-4.12</v>
      </c>
      <c r="D267" s="5" t="n">
        <v>-3</v>
      </c>
      <c r="E267" s="5" t="n">
        <v>0.01</v>
      </c>
    </row>
    <row r="268" customFormat="false" ht="15" hidden="false" customHeight="false" outlineLevel="0" collapsed="false">
      <c r="A268" s="2" t="s">
        <v>271</v>
      </c>
      <c r="B268" s="3" t="n">
        <v>1.87</v>
      </c>
      <c r="C268" s="3" t="n">
        <v>4.87</v>
      </c>
      <c r="D268" s="3" t="n">
        <v>3.6</v>
      </c>
      <c r="E268" s="3" t="n">
        <v>0.01</v>
      </c>
    </row>
    <row r="269" customFormat="false" ht="15" hidden="false" customHeight="false" outlineLevel="0" collapsed="false">
      <c r="A269" s="4" t="s">
        <v>272</v>
      </c>
      <c r="B269" s="5" t="n">
        <v>-4.34</v>
      </c>
      <c r="C269" s="5" t="n">
        <v>-12.43</v>
      </c>
      <c r="D269" s="5" t="n">
        <v>-8.9</v>
      </c>
      <c r="E269" s="5" t="n">
        <v>0.02</v>
      </c>
    </row>
    <row r="270" customFormat="false" ht="15" hidden="false" customHeight="false" outlineLevel="0" collapsed="false">
      <c r="A270" s="2" t="s">
        <v>273</v>
      </c>
      <c r="B270" s="3" t="n">
        <v>0.12</v>
      </c>
      <c r="C270" s="3" t="n">
        <v>0.23</v>
      </c>
      <c r="D270" s="3" t="n">
        <v>0</v>
      </c>
      <c r="E270" s="3" t="n">
        <v>0.04</v>
      </c>
    </row>
    <row r="271" customFormat="false" ht="15" hidden="false" customHeight="false" outlineLevel="0" collapsed="false">
      <c r="A271" s="4" t="s">
        <v>274</v>
      </c>
      <c r="B271" s="5" t="n">
        <v>-4.12</v>
      </c>
      <c r="C271" s="5" t="n">
        <v>-11.87</v>
      </c>
      <c r="D271" s="5" t="n">
        <v>-8.4</v>
      </c>
      <c r="E271" s="5" t="n">
        <v>0.07</v>
      </c>
    </row>
    <row r="272" customFormat="false" ht="15" hidden="false" customHeight="false" outlineLevel="0" collapsed="false">
      <c r="A272" s="2" t="s">
        <v>275</v>
      </c>
      <c r="B272" s="3" t="n">
        <v>4.54</v>
      </c>
      <c r="C272" s="3" t="n">
        <v>12.87</v>
      </c>
      <c r="D272" s="3" t="n">
        <v>9.4</v>
      </c>
      <c r="E272" s="3" t="n">
        <v>0.09</v>
      </c>
    </row>
    <row r="273" customFormat="false" ht="15" hidden="false" customHeight="false" outlineLevel="0" collapsed="false">
      <c r="A273" s="4" t="s">
        <v>276</v>
      </c>
      <c r="B273" s="5" t="n">
        <v>-2.12</v>
      </c>
      <c r="C273" s="5" t="n">
        <v>-5.87</v>
      </c>
      <c r="D273" s="5" t="n">
        <v>-4.1</v>
      </c>
      <c r="E273" s="5" t="n">
        <v>0.17</v>
      </c>
    </row>
    <row r="274" customFormat="false" ht="15" hidden="false" customHeight="false" outlineLevel="0" collapsed="false">
      <c r="A274" s="2" t="s">
        <v>277</v>
      </c>
      <c r="B274" s="3" t="n">
        <v>-4.54</v>
      </c>
      <c r="C274" s="3" t="n">
        <v>-12.87</v>
      </c>
      <c r="D274" s="3" t="n">
        <v>-9.4</v>
      </c>
      <c r="E274" s="3" t="n">
        <v>0.19</v>
      </c>
    </row>
    <row r="275" customFormat="false" ht="15" hidden="false" customHeight="false" outlineLevel="0" collapsed="false">
      <c r="A275" s="4" t="s">
        <v>278</v>
      </c>
      <c r="B275" s="5" t="n">
        <v>3.87</v>
      </c>
      <c r="C275" s="5" t="n">
        <v>10.87</v>
      </c>
      <c r="D275" s="5" t="n">
        <v>7.9</v>
      </c>
      <c r="E275" s="5" t="n">
        <v>0.24</v>
      </c>
    </row>
    <row r="276" customFormat="false" ht="15" hidden="false" customHeight="false" outlineLevel="0" collapsed="false">
      <c r="A276" s="2" t="s">
        <v>279</v>
      </c>
      <c r="B276" s="3" t="n">
        <v>2.67</v>
      </c>
      <c r="C276" s="3" t="n">
        <v>7.43</v>
      </c>
      <c r="D276" s="3" t="n">
        <v>5.5</v>
      </c>
      <c r="E276" s="3" t="n">
        <v>0.3</v>
      </c>
    </row>
    <row r="277" customFormat="false" ht="15" hidden="false" customHeight="false" outlineLevel="0" collapsed="false">
      <c r="A277" s="4" t="s">
        <v>280</v>
      </c>
      <c r="B277" s="5" t="n">
        <v>-2.87</v>
      </c>
      <c r="C277" s="5" t="n">
        <v>-8.12</v>
      </c>
      <c r="D277" s="5" t="n">
        <v>-5.9</v>
      </c>
      <c r="E277" s="5" t="n">
        <v>0.33</v>
      </c>
    </row>
    <row r="278" customFormat="false" ht="15" hidden="false" customHeight="false" outlineLevel="0" collapsed="false">
      <c r="A278" s="2" t="s">
        <v>281</v>
      </c>
      <c r="B278" s="3" t="n">
        <v>3.12</v>
      </c>
      <c r="C278" s="3" t="n">
        <v>8.87</v>
      </c>
      <c r="D278" s="3" t="n">
        <v>6.3</v>
      </c>
      <c r="E278" s="3" t="n">
        <v>0.36</v>
      </c>
    </row>
    <row r="279" customFormat="false" ht="15" hidden="false" customHeight="false" outlineLevel="0" collapsed="false">
      <c r="A279" s="4" t="s">
        <v>282</v>
      </c>
      <c r="B279" s="5" t="n">
        <v>-1.34</v>
      </c>
      <c r="C279" s="5" t="n">
        <v>-3.54</v>
      </c>
      <c r="D279" s="5" t="n">
        <v>-2.6</v>
      </c>
      <c r="E279" s="5" t="n">
        <v>0.38</v>
      </c>
    </row>
    <row r="280" customFormat="false" ht="15" hidden="false" customHeight="false" outlineLevel="0" collapsed="false">
      <c r="A280" s="2" t="s">
        <v>283</v>
      </c>
      <c r="B280" s="3" t="n">
        <v>1.87</v>
      </c>
      <c r="C280" s="3" t="n">
        <v>5.12</v>
      </c>
      <c r="D280" s="3" t="n">
        <v>3.7</v>
      </c>
      <c r="E280" s="3" t="n">
        <v>0.4</v>
      </c>
    </row>
    <row r="281" customFormat="false" ht="15" hidden="false" customHeight="false" outlineLevel="0" collapsed="false">
      <c r="A281" s="4" t="s">
        <v>284</v>
      </c>
      <c r="B281" s="5" t="n">
        <v>0.87</v>
      </c>
      <c r="C281" s="5" t="n">
        <v>2.23</v>
      </c>
      <c r="D281" s="5" t="n">
        <v>1.6</v>
      </c>
      <c r="E281" s="5" t="n">
        <v>0.41</v>
      </c>
    </row>
    <row r="282" customFormat="false" ht="15" hidden="false" customHeight="false" outlineLevel="0" collapsed="false">
      <c r="A282" s="2" t="s">
        <v>285</v>
      </c>
      <c r="B282" s="3" t="n">
        <v>-0.34</v>
      </c>
      <c r="C282" s="3" t="n">
        <v>-0.87</v>
      </c>
      <c r="D282" s="3" t="n">
        <v>-0.6</v>
      </c>
      <c r="E282" s="3" t="n">
        <v>0.42</v>
      </c>
    </row>
    <row r="283" customFormat="false" ht="15" hidden="false" customHeight="false" outlineLevel="0" collapsed="false">
      <c r="A283" s="4" t="s">
        <v>286</v>
      </c>
      <c r="B283" s="5" t="n">
        <v>3.23</v>
      </c>
      <c r="C283" s="5" t="n">
        <v>9.12</v>
      </c>
      <c r="D283" s="5" t="n">
        <v>6.6</v>
      </c>
      <c r="E283" s="5" t="n">
        <v>0.43</v>
      </c>
    </row>
    <row r="284" customFormat="false" ht="15" hidden="false" customHeight="false" outlineLevel="0" collapsed="false">
      <c r="A284" s="2" t="s">
        <v>287</v>
      </c>
      <c r="B284" s="3" t="n">
        <v>1.73</v>
      </c>
      <c r="C284" s="3" t="n">
        <v>4.43</v>
      </c>
      <c r="D284" s="3" t="n">
        <v>3.3</v>
      </c>
      <c r="E284" s="3" t="n">
        <v>0.44</v>
      </c>
    </row>
    <row r="285" customFormat="false" ht="15" hidden="false" customHeight="false" outlineLevel="0" collapsed="false">
      <c r="A285" s="4" t="s">
        <v>288</v>
      </c>
      <c r="B285" s="5" t="n">
        <v>-0.94</v>
      </c>
      <c r="C285" s="5" t="n">
        <v>-2.43</v>
      </c>
      <c r="D285" s="5" t="n">
        <v>-1.8</v>
      </c>
      <c r="E285" s="5" t="n">
        <v>0.44</v>
      </c>
    </row>
    <row r="286" customFormat="false" ht="15" hidden="false" customHeight="false" outlineLevel="0" collapsed="false">
      <c r="A286" s="2" t="s">
        <v>289</v>
      </c>
      <c r="B286" s="3" t="n">
        <v>-2.43</v>
      </c>
      <c r="C286" s="3" t="n">
        <v>-6.87</v>
      </c>
      <c r="D286" s="3" t="n">
        <v>-4.9</v>
      </c>
      <c r="E286" s="3" t="n">
        <v>0.44</v>
      </c>
    </row>
    <row r="287" customFormat="false" ht="15" hidden="false" customHeight="false" outlineLevel="0" collapsed="false">
      <c r="A287" s="4" t="s">
        <v>290</v>
      </c>
      <c r="B287" s="5" t="n">
        <v>-1.43</v>
      </c>
      <c r="C287" s="5" t="n">
        <v>-3.87</v>
      </c>
      <c r="D287" s="5" t="n">
        <v>-2.8</v>
      </c>
      <c r="E287" s="5" t="n">
        <v>0.44</v>
      </c>
    </row>
    <row r="288" customFormat="false" ht="15" hidden="false" customHeight="false" outlineLevel="0" collapsed="false">
      <c r="A288" s="2" t="s">
        <v>291</v>
      </c>
      <c r="B288" s="3" t="n">
        <v>4.54</v>
      </c>
      <c r="C288" s="3" t="n">
        <v>12.43</v>
      </c>
      <c r="D288" s="3" t="n">
        <v>9.2</v>
      </c>
      <c r="E288" s="3" t="n">
        <v>0.44</v>
      </c>
    </row>
    <row r="289" customFormat="false" ht="15" hidden="false" customHeight="false" outlineLevel="0" collapsed="false">
      <c r="A289" s="4" t="s">
        <v>292</v>
      </c>
      <c r="B289" s="5" t="n">
        <v>2.23</v>
      </c>
      <c r="C289" s="5" t="n">
        <v>6.12</v>
      </c>
      <c r="D289" s="5" t="n">
        <v>4.6</v>
      </c>
      <c r="E289" s="5" t="n">
        <v>0.44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26.85" hidden="false" customHeight="false" outlineLevel="0" collapsed="false">
      <c r="A1" s="1" t="s">
        <v>293</v>
      </c>
      <c r="B1" s="1"/>
      <c r="C1" s="1"/>
      <c r="D1" s="1"/>
    </row>
    <row r="2" customFormat="false" ht="15" hidden="false" customHeight="false" outlineLevel="0" collapsed="false">
      <c r="A2" s="6" t="s">
        <v>294</v>
      </c>
      <c r="B2" s="6" t="s">
        <v>295</v>
      </c>
      <c r="C2" s="6" t="s">
        <v>296</v>
      </c>
      <c r="D2" s="6" t="s">
        <v>297</v>
      </c>
    </row>
    <row r="3" customFormat="false" ht="15" hidden="false" customHeight="false" outlineLevel="0" collapsed="false">
      <c r="A3" s="7" t="s">
        <v>298</v>
      </c>
      <c r="B3" s="5" t="n">
        <f aca="false">AVERAGE('Raw Data'!B2:B289)</f>
        <v>0.396006944444444</v>
      </c>
      <c r="C3" s="5" t="n">
        <f aca="false">AVERAGE('Raw Data'!C2:C289)</f>
        <v>0.718402777777778</v>
      </c>
      <c r="D3" s="5" t="n">
        <f aca="false">AVERAGE('Raw Data'!D2:D289)</f>
        <v>0.597673611111111</v>
      </c>
    </row>
    <row r="4" customFormat="false" ht="15" hidden="false" customHeight="false" outlineLevel="0" collapsed="false">
      <c r="A4" s="7" t="s">
        <v>299</v>
      </c>
      <c r="B4" s="3" t="n">
        <f aca="false">B3*12</f>
        <v>4.75208333333333</v>
      </c>
      <c r="C4" s="3" t="n">
        <f aca="false">C3*12</f>
        <v>8.62083333333333</v>
      </c>
      <c r="D4" s="3" t="n">
        <f aca="false">D3*12</f>
        <v>7.17208333333333</v>
      </c>
    </row>
    <row r="5" customFormat="false" ht="15" hidden="false" customHeight="false" outlineLevel="0" collapsed="false">
      <c r="A5" s="7" t="s">
        <v>300</v>
      </c>
      <c r="B5" s="5" t="n">
        <f aca="false">STDEV('Raw Data'!B2:B289)</f>
        <v>2.18985696952791</v>
      </c>
      <c r="C5" s="5" t="n">
        <f aca="false">STDEV('Raw Data'!C2:C289)</f>
        <v>6.45331156791655</v>
      </c>
      <c r="D5" s="5" t="n">
        <f aca="false">STDEV('Raw Data'!D2:D289)</f>
        <v>4.53602580560638</v>
      </c>
    </row>
    <row r="6" customFormat="false" ht="15" hidden="false" customHeight="false" outlineLevel="0" collapsed="false">
      <c r="A6" s="7" t="s">
        <v>301</v>
      </c>
      <c r="B6" s="3" t="n">
        <f aca="false">B5*SQRT(12)</f>
        <v>7.58588706506228</v>
      </c>
      <c r="C6" s="3" t="n">
        <f aca="false">C5*SQRT(12)</f>
        <v>22.3549270254069</v>
      </c>
      <c r="D6" s="3" t="n">
        <f aca="false">D5*SQRT(12)</f>
        <v>15.7132543195076</v>
      </c>
    </row>
    <row r="7" customFormat="false" ht="15" hidden="false" customHeight="false" outlineLevel="0" collapsed="false">
      <c r="A7" s="7" t="s">
        <v>302</v>
      </c>
      <c r="B7" s="5" t="n">
        <f aca="false">(B3-AVERAGE('Raw Data'!E2:E289))/B5</f>
        <v>0.115843435934651</v>
      </c>
      <c r="C7" s="5" t="n">
        <f aca="false">(C3-AVERAGE('Raw Data'!E2:E289))/C5</f>
        <v>0.0892683365472273</v>
      </c>
      <c r="D7" s="5" t="n">
        <f aca="false">(D3-AVERAGE('Raw Data'!E2:E289))/D5</f>
        <v>0.100384618989475</v>
      </c>
    </row>
    <row r="8" customFormat="false" ht="15" hidden="false" customHeight="false" outlineLevel="0" collapsed="false">
      <c r="A8" s="7" t="s">
        <v>303</v>
      </c>
      <c r="B8" s="3" t="n">
        <f aca="false">MIN('Raw Data'!B2:B289)</f>
        <v>-7.87</v>
      </c>
      <c r="C8" s="3" t="n">
        <f aca="false">MIN('Raw Data'!C2:C289)</f>
        <v>-25.43</v>
      </c>
      <c r="D8" s="3" t="n">
        <f aca="false">MIN('Raw Data'!D2:D289)</f>
        <v>-17.2</v>
      </c>
    </row>
    <row r="9" customFormat="false" ht="15" hidden="false" customHeight="false" outlineLevel="0" collapsed="false">
      <c r="A9" s="7" t="s">
        <v>304</v>
      </c>
      <c r="B9" s="5" t="n">
        <f aca="false">MAX('Raw Data'!B2:B289)</f>
        <v>6.23</v>
      </c>
      <c r="C9" s="5" t="n">
        <f aca="false">MAX('Raw Data'!C2:C289)</f>
        <v>18.43</v>
      </c>
      <c r="D9" s="5" t="n">
        <f aca="false">MAX('Raw Data'!D2:D289)</f>
        <v>13.1</v>
      </c>
    </row>
    <row r="10" customFormat="false" ht="15" hidden="false" customHeight="false" outlineLevel="0" collapsed="false">
      <c r="A10" s="7" t="s">
        <v>305</v>
      </c>
      <c r="B10" s="3" t="n">
        <f aca="false">COUNTIF('Raw Data'!B2:B289,"&gt;0")</f>
        <v>185</v>
      </c>
      <c r="C10" s="3" t="n">
        <f aca="false">COUNTIF('Raw Data'!C2:C289,"&gt;0")</f>
        <v>181</v>
      </c>
      <c r="D10" s="3" t="n">
        <f aca="false">COUNTIF('Raw Data'!D2:D289,"&gt;0")</f>
        <v>177</v>
      </c>
    </row>
    <row r="11" customFormat="false" ht="26.85" hidden="false" customHeight="false" outlineLevel="0" collapsed="false">
      <c r="A11" s="1" t="s">
        <v>306</v>
      </c>
      <c r="B11" s="1"/>
      <c r="C11" s="1"/>
      <c r="D11" s="1"/>
    </row>
    <row r="12" customFormat="false" ht="15" hidden="false" customHeight="false" outlineLevel="0" collapsed="false">
      <c r="A12" s="6" t="s">
        <v>307</v>
      </c>
      <c r="B12" s="6" t="s">
        <v>295</v>
      </c>
      <c r="C12" s="6" t="s">
        <v>296</v>
      </c>
      <c r="D12" s="6" t="s">
        <v>308</v>
      </c>
    </row>
    <row r="13" customFormat="false" ht="15" hidden="false" customHeight="false" outlineLevel="0" collapsed="false">
      <c r="A13" s="7" t="s">
        <v>309</v>
      </c>
      <c r="B13" s="8" t="n">
        <f aca="false">INTERCEPT('Raw Data'!B2:B289-'Raw Data'!E2:E289,'Raw Data'!D2:D289-'Raw Data'!E2:E289)</f>
        <v>0.036561831214485</v>
      </c>
      <c r="C13" s="8" t="n">
        <f aca="false">INTERCEPT('Raw Data'!C2:C289-'Raw Data'!E2:E289,'Raw Data'!D2:D289-'Raw Data'!E2:E289)</f>
        <v>-0.0700722638283894</v>
      </c>
      <c r="D13" s="9" t="s">
        <v>310</v>
      </c>
    </row>
    <row r="14" customFormat="false" ht="15" hidden="false" customHeight="false" outlineLevel="0" collapsed="false">
      <c r="A14" s="7" t="s">
        <v>311</v>
      </c>
      <c r="B14" s="10" t="n">
        <f aca="false">B13*12</f>
        <v>0.43874197457382</v>
      </c>
      <c r="C14" s="10" t="n">
        <f aca="false">C13*12</f>
        <v>-0.840867165940673</v>
      </c>
      <c r="D14" s="9" t="s">
        <v>312</v>
      </c>
    </row>
    <row r="15" customFormat="false" ht="15" hidden="false" customHeight="false" outlineLevel="0" collapsed="false">
      <c r="A15" s="7" t="s">
        <v>313</v>
      </c>
      <c r="B15" s="8" t="n">
        <f aca="false">SLOPE('Raw Data'!B2:B289-'Raw Data'!E2:E289,'Raw Data'!D2:D289-'Raw Data'!E2:E289)</f>
        <v>0.4768201358108</v>
      </c>
      <c r="C15" s="8" t="n">
        <f aca="false">SLOPE('Raw Data'!C2:C289-'Raw Data'!E2:E289,'Raw Data'!D2:D289-'Raw Data'!E2:E289)</f>
        <v>1.41902403524917</v>
      </c>
      <c r="D15" s="9" t="s">
        <v>314</v>
      </c>
    </row>
    <row r="16" customFormat="false" ht="15" hidden="false" customHeight="false" outlineLevel="0" collapsed="false">
      <c r="A16" s="7" t="s">
        <v>315</v>
      </c>
      <c r="B16" s="10" t="n">
        <f aca="false">RSQ('Raw Data'!B2:B289-'Raw Data'!E2:E289,'Raw Data'!D2:D289-'Raw Data'!E2:E289)</f>
        <v>0.974352097828463</v>
      </c>
      <c r="C16" s="10" t="n">
        <f aca="false">RSQ('Raw Data'!C2:C289-'Raw Data'!E2:E289,'Raw Data'!D2:D289-'Raw Data'!E2:E289)</f>
        <v>0.99613036934919</v>
      </c>
      <c r="D16" s="9" t="s">
        <v>316</v>
      </c>
    </row>
    <row r="19" customFormat="false" ht="26.85" hidden="false" customHeight="false" outlineLevel="0" collapsed="false">
      <c r="A19" s="1" t="s">
        <v>317</v>
      </c>
      <c r="B19" s="1"/>
      <c r="C19" s="1"/>
      <c r="D19" s="1"/>
    </row>
    <row r="20" customFormat="false" ht="15" hidden="false" customHeight="false" outlineLevel="0" collapsed="false">
      <c r="A20" s="6" t="s">
        <v>318</v>
      </c>
      <c r="B20" s="6" t="s">
        <v>295</v>
      </c>
      <c r="C20" s="6" t="s">
        <v>296</v>
      </c>
      <c r="D20" s="6" t="s">
        <v>297</v>
      </c>
    </row>
    <row r="21" customFormat="false" ht="15" hidden="false" customHeight="false" outlineLevel="0" collapsed="false">
      <c r="A21" s="7" t="s">
        <v>319</v>
      </c>
      <c r="B21" s="5" t="n">
        <f aca="false">AVERAGE('Raw Data'!B2:B97)</f>
        <v>0.325520833333333</v>
      </c>
      <c r="C21" s="5" t="n">
        <f aca="false">AVERAGE('Raw Data'!C2:C97)</f>
        <v>-0.055</v>
      </c>
      <c r="D21" s="5" t="n">
        <f aca="false">AVERAGE('Raw Data'!D2:D97)</f>
        <v>0.149270833333333</v>
      </c>
    </row>
    <row r="22" customFormat="false" ht="15" hidden="false" customHeight="false" outlineLevel="0" collapsed="false">
      <c r="A22" s="7" t="s">
        <v>320</v>
      </c>
      <c r="B22" s="3" t="n">
        <f aca="false">AVERAGE('Raw Data'!B98:B121)</f>
        <v>-0.3175</v>
      </c>
      <c r="C22" s="3" t="n">
        <f aca="false">AVERAGE('Raw Data'!C98:C121)</f>
        <v>-1.17208333333333</v>
      </c>
      <c r="D22" s="3" t="n">
        <f aca="false">AVERAGE('Raw Data'!D98:D121)</f>
        <v>-0.75</v>
      </c>
    </row>
    <row r="23" customFormat="false" ht="15" hidden="false" customHeight="false" outlineLevel="0" collapsed="false">
      <c r="A23" s="7" t="s">
        <v>321</v>
      </c>
      <c r="B23" s="5" t="n">
        <f aca="false">AVERAGE('Raw Data'!B122:B241)</f>
        <v>0.546833333333333</v>
      </c>
      <c r="C23" s="5" t="n">
        <f aca="false">AVERAGE('Raw Data'!C122:C241)</f>
        <v>1.44816666666667</v>
      </c>
      <c r="D23" s="5" t="n">
        <f aca="false">AVERAGE('Raw Data'!D122:D241)</f>
        <v>1.05</v>
      </c>
    </row>
    <row r="24" customFormat="false" ht="15" hidden="false" customHeight="false" outlineLevel="0" collapsed="false">
      <c r="A24" s="7" t="s">
        <v>322</v>
      </c>
      <c r="B24" s="3" t="n">
        <f aca="false">AVERAGE('Raw Data'!B242:B289)</f>
        <v>0.516666666666667</v>
      </c>
      <c r="C24" s="3" t="n">
        <f aca="false">AVERAGE('Raw Data'!C242:C289)</f>
        <v>1.38604166666667</v>
      </c>
      <c r="D24" s="3" t="n">
        <f aca="false">AVERAGE('Raw Data'!D242:D289)</f>
        <v>1.0375</v>
      </c>
    </row>
    <row r="25" customFormat="false" ht="15" hidden="false" customHeight="false" outlineLevel="0" collapsed="false">
      <c r="A25" s="11" t="s">
        <v>323</v>
      </c>
      <c r="B25" s="5" t="n">
        <f aca="false">AVERAGE('Raw Data'!B2:B289)</f>
        <v>0.396006944444444</v>
      </c>
      <c r="C25" s="5" t="n">
        <f aca="false">AVERAGE('Raw Data'!C2:C289)</f>
        <v>0.718402777777778</v>
      </c>
      <c r="D25" s="5" t="n">
        <f aca="false">AVERAGE('Raw Data'!D2:D289)</f>
        <v>0.597673611111111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4"/>
  </cols>
  <sheetData>
    <row r="1" customFormat="false" ht="15" hidden="false" customHeight="false" outlineLevel="0" collapsed="false">
      <c r="A1" s="1" t="s">
        <v>0</v>
      </c>
      <c r="B1" s="1" t="s">
        <v>324</v>
      </c>
      <c r="C1" s="1" t="s">
        <v>325</v>
      </c>
      <c r="D1" s="1" t="s">
        <v>326</v>
      </c>
    </row>
    <row r="2" customFormat="false" ht="15" hidden="false" customHeight="false" outlineLevel="0" collapsed="false">
      <c r="A2" s="2" t="s">
        <v>5</v>
      </c>
      <c r="B2" s="3" t="n">
        <v>100</v>
      </c>
      <c r="C2" s="3" t="n">
        <v>100</v>
      </c>
      <c r="D2" s="3" t="n">
        <v>100</v>
      </c>
    </row>
    <row r="3" customFormat="false" ht="15" hidden="false" customHeight="false" outlineLevel="0" collapsed="false">
      <c r="A3" s="4" t="s">
        <v>6</v>
      </c>
      <c r="B3" s="5" t="n">
        <f aca="false">B2*(1+'Raw Data'!B3/100)</f>
        <v>102.14</v>
      </c>
      <c r="C3" s="5" t="n">
        <f aca="false">C2*(1+'Raw Data'!C3/100)</f>
        <v>105.63</v>
      </c>
      <c r="D3" s="5" t="n">
        <f aca="false">D2*(1+'Raw Data'!D3/100)</f>
        <v>101.88</v>
      </c>
    </row>
    <row r="4" customFormat="false" ht="15" hidden="false" customHeight="false" outlineLevel="0" collapsed="false">
      <c r="A4" s="2" t="s">
        <v>7</v>
      </c>
      <c r="B4" s="3" t="n">
        <f aca="false">B3*(1+'Raw Data'!B4/100)</f>
        <v>105.316554</v>
      </c>
      <c r="C4" s="3" t="n">
        <f aca="false">C3*(1+'Raw Data'!C4/100)</f>
        <v>113.911392</v>
      </c>
      <c r="D4" s="3" t="n">
        <f aca="false">D3*(1+'Raw Data'!D4/100)</f>
        <v>109.245924</v>
      </c>
    </row>
    <row r="5" customFormat="false" ht="15" hidden="false" customHeight="false" outlineLevel="0" collapsed="false">
      <c r="A5" s="4" t="s">
        <v>8</v>
      </c>
      <c r="B5" s="5" t="n">
        <f aca="false">B4*(1+'Raw Data'!B5/100)</f>
        <v>103.2944761632</v>
      </c>
      <c r="C5" s="5" t="n">
        <f aca="false">C4*(1+'Raw Data'!C5/100)</f>
        <v>105.4477755744</v>
      </c>
      <c r="D5" s="5" t="n">
        <f aca="false">D4*(1+'Raw Data'!D5/100)</f>
        <v>104.32985742</v>
      </c>
    </row>
    <row r="6" customFormat="false" ht="15" hidden="false" customHeight="false" outlineLevel="0" collapsed="false">
      <c r="A6" s="2" t="s">
        <v>9</v>
      </c>
      <c r="B6" s="3" t="n">
        <f aca="false">B5*(1+'Raw Data'!B6/100)</f>
        <v>101.80703570645</v>
      </c>
      <c r="C6" s="3" t="n">
        <f aca="false">C5*(1+'Raw Data'!C6/100)</f>
        <v>98.8783791561149</v>
      </c>
      <c r="D6" s="3" t="n">
        <f aca="false">D5*(1+'Raw Data'!D6/100)</f>
        <v>100.292291937846</v>
      </c>
    </row>
    <row r="7" customFormat="false" ht="15" hidden="false" customHeight="false" outlineLevel="0" collapsed="false">
      <c r="A7" s="4" t="s">
        <v>10</v>
      </c>
      <c r="B7" s="5" t="n">
        <f aca="false">B6*(1+'Raw Data'!B7/100)</f>
        <v>103.710827274161</v>
      </c>
      <c r="C7" s="5" t="n">
        <f aca="false">C6*(1+'Raw Data'!C7/100)</f>
        <v>101.963384585786</v>
      </c>
      <c r="D7" s="5" t="n">
        <f aca="false">D6*(1+'Raw Data'!D7/100)</f>
        <v>103.311089925175</v>
      </c>
    </row>
    <row r="8" customFormat="false" ht="15" hidden="false" customHeight="false" outlineLevel="0" collapsed="false">
      <c r="A8" s="2" t="s">
        <v>11</v>
      </c>
      <c r="B8" s="3" t="n">
        <f aca="false">B7*(1+'Raw Data'!B8/100)</f>
        <v>104.156783831439</v>
      </c>
      <c r="C8" s="3" t="n">
        <f aca="false">C7*(1+'Raw Data'!C8/100)</f>
        <v>99.0676244635493</v>
      </c>
      <c r="D8" s="3" t="n">
        <f aca="false">D7*(1+'Raw Data'!D8/100)</f>
        <v>102.174667935998</v>
      </c>
    </row>
    <row r="9" customFormat="false" ht="15" hidden="false" customHeight="false" outlineLevel="0" collapsed="false">
      <c r="A9" s="4" t="s">
        <v>12</v>
      </c>
      <c r="B9" s="5" t="n">
        <f aca="false">B8*(1+'Raw Data'!B9/100)</f>
        <v>107.187746240934</v>
      </c>
      <c r="C9" s="5" t="n">
        <f aca="false">C8*(1+'Raw Data'!C9/100)</f>
        <v>106.339188099174</v>
      </c>
      <c r="D9" s="5" t="n">
        <f aca="false">D8*(1+'Raw Data'!D9/100)</f>
        <v>108.100798676286</v>
      </c>
    </row>
    <row r="10" customFormat="false" ht="15" hidden="false" customHeight="false" outlineLevel="0" collapsed="false">
      <c r="A10" s="2" t="s">
        <v>13</v>
      </c>
      <c r="B10" s="3" t="n">
        <f aca="false">B9*(1+'Raw Data'!B10/100)</f>
        <v>105.751430441306</v>
      </c>
      <c r="C10" s="3" t="n">
        <f aca="false">C9*(1+'Raw Data'!C10/100)</f>
        <v>98.6508647996036</v>
      </c>
      <c r="D10" s="3" t="n">
        <f aca="false">D9*(1+'Raw Data'!D10/100)</f>
        <v>103.560565131882</v>
      </c>
    </row>
    <row r="11" customFormat="false" ht="15" hidden="false" customHeight="false" outlineLevel="0" collapsed="false">
      <c r="A11" s="4" t="s">
        <v>14</v>
      </c>
      <c r="B11" s="5" t="n">
        <f aca="false">B10*(1+'Raw Data'!B11/100)</f>
        <v>104.831392996466</v>
      </c>
      <c r="C11" s="5" t="n">
        <f aca="false">C10*(1+'Raw Data'!C11/100)</f>
        <v>94.5864491698599</v>
      </c>
      <c r="D11" s="5" t="n">
        <f aca="false">D10*(1+'Raw Data'!D11/100)</f>
        <v>101.075111568717</v>
      </c>
    </row>
    <row r="12" customFormat="false" ht="15" hidden="false" customHeight="false" outlineLevel="0" collapsed="false">
      <c r="A12" s="2" t="s">
        <v>15</v>
      </c>
      <c r="B12" s="3" t="n">
        <f aca="false">B11*(1+'Raw Data'!B12/100)</f>
        <v>105.816808090633</v>
      </c>
      <c r="C12" s="3" t="n">
        <f aca="false">C11*(1+'Raw Data'!C12/100)</f>
        <v>85.752074817395</v>
      </c>
      <c r="D12" s="3" t="n">
        <f aca="false">D11*(1+'Raw Data'!D12/100)</f>
        <v>95.5159804324375</v>
      </c>
    </row>
    <row r="13" customFormat="false" ht="15" hidden="false" customHeight="false" outlineLevel="0" collapsed="false">
      <c r="A13" s="4" t="s">
        <v>16</v>
      </c>
      <c r="B13" s="5" t="n">
        <f aca="false">B12*(1+'Raw Data'!B13/100)</f>
        <v>107.329988446329</v>
      </c>
      <c r="C13" s="5" t="n">
        <f aca="false">C12*(1+'Raw Data'!C13/100)</f>
        <v>81.5759487737879</v>
      </c>
      <c r="D13" s="5" t="n">
        <f aca="false">D12*(1+'Raw Data'!D13/100)</f>
        <v>92.7460169998968</v>
      </c>
    </row>
    <row r="14" customFormat="false" ht="15" hidden="false" customHeight="false" outlineLevel="0" collapsed="false">
      <c r="A14" s="2" t="s">
        <v>17</v>
      </c>
      <c r="B14" s="3" t="n">
        <f aca="false">B13*(1+'Raw Data'!B14/100)</f>
        <v>109.841510175973</v>
      </c>
      <c r="C14" s="3" t="n">
        <f aca="false">C13*(1+'Raw Data'!C14/100)</f>
        <v>85.7526373510058</v>
      </c>
      <c r="D14" s="3" t="n">
        <f aca="false">D13*(1+'Raw Data'!D14/100)</f>
        <v>96.4558576798927</v>
      </c>
    </row>
    <row r="15" customFormat="false" ht="15" hidden="false" customHeight="false" outlineLevel="0" collapsed="false">
      <c r="A15" s="4" t="s">
        <v>18</v>
      </c>
      <c r="B15" s="5" t="n">
        <f aca="false">B14*(1+'Raw Data'!B15/100)</f>
        <v>107.787473935683</v>
      </c>
      <c r="C15" s="5" t="n">
        <f aca="false">C14*(1+'Raw Data'!C15/100)</f>
        <v>75.1707619018917</v>
      </c>
      <c r="D15" s="5" t="n">
        <f aca="false">D14*(1+'Raw Data'!D15/100)</f>
        <v>89.2216683539008</v>
      </c>
    </row>
    <row r="16" customFormat="false" ht="15" hidden="false" customHeight="false" outlineLevel="0" collapsed="false">
      <c r="A16" s="2" t="s">
        <v>19</v>
      </c>
      <c r="B16" s="3" t="n">
        <f aca="false">B15*(1+'Raw Data'!B16/100)</f>
        <v>105.168238319046</v>
      </c>
      <c r="C16" s="3" t="n">
        <f aca="false">C15*(1+'Raw Data'!C16/100)</f>
        <v>68.4730470164331</v>
      </c>
      <c r="D16" s="3" t="n">
        <f aca="false">D15*(1+'Raw Data'!D16/100)</f>
        <v>84.3144765944362</v>
      </c>
    </row>
    <row r="17" customFormat="false" ht="15" hidden="false" customHeight="false" outlineLevel="0" collapsed="false">
      <c r="A17" s="4" t="s">
        <v>20</v>
      </c>
      <c r="B17" s="5" t="n">
        <f aca="false">B16*(1+'Raw Data'!B17/100)</f>
        <v>109.238249141993</v>
      </c>
      <c r="C17" s="5" t="n">
        <f aca="false">C16*(1+'Raw Data'!C17/100)</f>
        <v>75.4778397262142</v>
      </c>
      <c r="D17" s="5" t="n">
        <f aca="false">D16*(1+'Raw Data'!D17/100)</f>
        <v>90.2164899560467</v>
      </c>
    </row>
    <row r="18" customFormat="false" ht="15" hidden="false" customHeight="false" outlineLevel="0" collapsed="false">
      <c r="A18" s="2" t="s">
        <v>21</v>
      </c>
      <c r="B18" s="3" t="n">
        <f aca="false">B17*(1+'Raw Data'!B18/100)</f>
        <v>109.707973613303</v>
      </c>
      <c r="C18" s="3" t="n">
        <f aca="false">C17*(1+'Raw Data'!C18/100)</f>
        <v>76.1118535799144</v>
      </c>
      <c r="D18" s="3" t="n">
        <f aca="false">D17*(1+'Raw Data'!D18/100)</f>
        <v>90.757788895783</v>
      </c>
    </row>
    <row r="19" customFormat="false" ht="15" hidden="false" customHeight="false" outlineLevel="0" collapsed="false">
      <c r="A19" s="4" t="s">
        <v>22</v>
      </c>
      <c r="B19" s="5" t="n">
        <f aca="false">B18*(1+'Raw Data'!B19/100)</f>
        <v>108.237886766885</v>
      </c>
      <c r="C19" s="5" t="n">
        <f aca="false">C18*(1+'Raw Data'!C19/100)</f>
        <v>73.1663248463718</v>
      </c>
      <c r="D19" s="5" t="n">
        <f aca="false">D18*(1+'Raw Data'!D19/100)</f>
        <v>88.3980863844927</v>
      </c>
    </row>
    <row r="20" customFormat="false" ht="15" hidden="false" customHeight="false" outlineLevel="0" collapsed="false">
      <c r="A20" s="2" t="s">
        <v>23</v>
      </c>
      <c r="B20" s="3" t="n">
        <f aca="false">B19*(1+'Raw Data'!B20/100)</f>
        <v>107.328688518043</v>
      </c>
      <c r="C20" s="3" t="n">
        <f aca="false">C19*(1+'Raw Data'!C20/100)</f>
        <v>71.607882127144</v>
      </c>
      <c r="D20" s="3" t="n">
        <f aca="false">D19*(1+'Raw Data'!D20/100)</f>
        <v>87.1605131751098</v>
      </c>
    </row>
    <row r="21" customFormat="false" ht="15" hidden="false" customHeight="false" outlineLevel="0" collapsed="false">
      <c r="A21" s="4" t="s">
        <v>24</v>
      </c>
      <c r="B21" s="5" t="n">
        <f aca="false">B20*(1+'Raw Data'!B21/100)</f>
        <v>104.248355157575</v>
      </c>
      <c r="C21" s="5" t="n">
        <f aca="false">C20*(1+'Raw Data'!C21/100)</f>
        <v>65.2276198296155</v>
      </c>
      <c r="D21" s="5" t="n">
        <f aca="false">D20*(1+'Raw Data'!D21/100)</f>
        <v>82.1052034109534</v>
      </c>
    </row>
    <row r="22" customFormat="false" ht="15" hidden="false" customHeight="false" outlineLevel="0" collapsed="false">
      <c r="A22" s="2" t="s">
        <v>25</v>
      </c>
      <c r="B22" s="3" t="n">
        <f aca="false">B21*(1+'Raw Data'!B22/100)</f>
        <v>99.9533229250832</v>
      </c>
      <c r="C22" s="3" t="n">
        <f aca="false">C21*(1+'Raw Data'!C22/100)</f>
        <v>53.8584456933135</v>
      </c>
      <c r="D22" s="3" t="n">
        <f aca="false">D21*(1+'Raw Data'!D22/100)</f>
        <v>73.1557362391595</v>
      </c>
    </row>
    <row r="23" customFormat="false" ht="15" hidden="false" customHeight="false" outlineLevel="0" collapsed="false">
      <c r="A23" s="4" t="s">
        <v>26</v>
      </c>
      <c r="B23" s="5" t="n">
        <f aca="false">B22*(1+'Raw Data'!B23/100)</f>
        <v>101.292697452279</v>
      </c>
      <c r="C23" s="5" t="n">
        <f aca="false">C22*(1+'Raw Data'!C23/100)</f>
        <v>55.5388291989449</v>
      </c>
      <c r="D23" s="5" t="n">
        <f aca="false">D22*(1+'Raw Data'!D23/100)</f>
        <v>74.765162436421</v>
      </c>
    </row>
    <row r="24" customFormat="false" ht="15" hidden="false" customHeight="false" outlineLevel="0" collapsed="false">
      <c r="A24" s="2" t="s">
        <v>27</v>
      </c>
      <c r="B24" s="3" t="n">
        <f aca="false">B23*(1+'Raw Data'!B24/100)</f>
        <v>105.577378554511</v>
      </c>
      <c r="C24" s="3" t="n">
        <f aca="false">C23*(1+'Raw Data'!C24/100)</f>
        <v>61.0205116408808</v>
      </c>
      <c r="D24" s="3" t="n">
        <f aca="false">D23*(1+'Raw Data'!D24/100)</f>
        <v>79.9987238069705</v>
      </c>
    </row>
    <row r="25" customFormat="false" ht="15" hidden="false" customHeight="false" outlineLevel="0" collapsed="false">
      <c r="A25" s="4" t="s">
        <v>28</v>
      </c>
      <c r="B25" s="5" t="n">
        <f aca="false">B24*(1+'Raw Data'!B25/100)</f>
        <v>106.495901747935</v>
      </c>
      <c r="C25" s="5" t="n">
        <f aca="false">C24*(1+'Raw Data'!C25/100)</f>
        <v>61.7710639340636</v>
      </c>
      <c r="D25" s="5" t="n">
        <f aca="false">D24*(1+'Raw Data'!D25/100)</f>
        <v>80.7187123212332</v>
      </c>
    </row>
    <row r="26" customFormat="false" ht="15" hidden="false" customHeight="false" outlineLevel="0" collapsed="false">
      <c r="A26" s="2" t="s">
        <v>29</v>
      </c>
      <c r="B26" s="3" t="n">
        <f aca="false">B25*(1+'Raw Data'!B26/100)</f>
        <v>105.494840271504</v>
      </c>
      <c r="C26" s="3" t="n">
        <f aca="false">C25*(1+'Raw Data'!C26/100)</f>
        <v>60.455340272268</v>
      </c>
      <c r="D26" s="3" t="n">
        <f aca="false">D25*(1+'Raw Data'!D26/100)</f>
        <v>79.5079316364147</v>
      </c>
    </row>
    <row r="27" customFormat="false" ht="15" hidden="false" customHeight="false" outlineLevel="0" collapsed="false">
      <c r="A27" s="4" t="s">
        <v>30</v>
      </c>
      <c r="B27" s="5" t="n">
        <f aca="false">B26*(1+'Raw Data'!B27/100)</f>
        <v>104.313298060464</v>
      </c>
      <c r="C27" s="5" t="n">
        <f aca="false">C26*(1+'Raw Data'!C27/100)</f>
        <v>58.7202720064539</v>
      </c>
      <c r="D27" s="5" t="n">
        <f aca="false">D26*(1+'Raw Data'!D27/100)</f>
        <v>77.9972809353228</v>
      </c>
    </row>
    <row r="28" customFormat="false" ht="15" hidden="false" customHeight="false" outlineLevel="0" collapsed="false">
      <c r="A28" s="2" t="s">
        <v>31</v>
      </c>
      <c r="B28" s="3" t="n">
        <f aca="false">B27*(1+'Raw Data'!B28/100)</f>
        <v>106.336976042837</v>
      </c>
      <c r="C28" s="3" t="n">
        <f aca="false">C27*(1+'Raw Data'!C28/100)</f>
        <v>61.7267499331844</v>
      </c>
      <c r="D28" s="3" t="n">
        <f aca="false">D27*(1+'Raw Data'!D28/100)</f>
        <v>80.8831803299297</v>
      </c>
    </row>
    <row r="29" customFormat="false" ht="15" hidden="false" customHeight="false" outlineLevel="0" collapsed="false">
      <c r="A29" s="4" t="s">
        <v>32</v>
      </c>
      <c r="B29" s="5" t="n">
        <f aca="false">B28*(1+'Raw Data'!B29/100)</f>
        <v>102.689617764567</v>
      </c>
      <c r="C29" s="5" t="n">
        <f aca="false">C28*(1+'Raw Data'!C29/100)</f>
        <v>56.2268965141377</v>
      </c>
      <c r="D29" s="5" t="n">
        <f aca="false">D28*(1+'Raw Data'!D29/100)</f>
        <v>76.0301895101339</v>
      </c>
    </row>
    <row r="30" customFormat="false" ht="15" hidden="false" customHeight="false" outlineLevel="0" collapsed="false">
      <c r="A30" s="2" t="s">
        <v>33</v>
      </c>
      <c r="B30" s="3" t="n">
        <f aca="false">B29*(1+'Raw Data'!B30/100)</f>
        <v>102.24805240818</v>
      </c>
      <c r="C30" s="3" t="n">
        <f aca="false">C29*(1+'Raw Data'!C30/100)</f>
        <v>55.5353056870138</v>
      </c>
      <c r="D30" s="3" t="n">
        <f aca="false">D29*(1+'Raw Data'!D30/100)</f>
        <v>75.497978183563</v>
      </c>
    </row>
    <row r="31" customFormat="false" ht="15" hidden="false" customHeight="false" outlineLevel="0" collapsed="false">
      <c r="A31" s="4" t="s">
        <v>34</v>
      </c>
      <c r="B31" s="5" t="n">
        <f aca="false">B30*(1+'Raw Data'!B31/100)</f>
        <v>98.2910527799831</v>
      </c>
      <c r="C31" s="5" t="n">
        <f aca="false">C30*(1+'Raw Data'!C31/100)</f>
        <v>49.8540439152323</v>
      </c>
      <c r="D31" s="5" t="n">
        <f aca="false">D30*(1+'Raw Data'!D31/100)</f>
        <v>70.2131197107136</v>
      </c>
    </row>
    <row r="32" customFormat="false" ht="15" hidden="false" customHeight="false" outlineLevel="0" collapsed="false">
      <c r="A32" s="2" t="s">
        <v>35</v>
      </c>
      <c r="B32" s="3" t="n">
        <f aca="false">B31*(1+'Raw Data'!B32/100)</f>
        <v>94.2414614054478</v>
      </c>
      <c r="C32" s="3" t="n">
        <f aca="false">C31*(1+'Raw Data'!C32/100)</f>
        <v>43.1586458174166</v>
      </c>
      <c r="D32" s="3" t="n">
        <f aca="false">D31*(1+'Raw Data'!D32/100)</f>
        <v>64.0343651761708</v>
      </c>
    </row>
    <row r="33" customFormat="false" ht="15" hidden="false" customHeight="false" outlineLevel="0" collapsed="false">
      <c r="A33" s="4" t="s">
        <v>36</v>
      </c>
      <c r="B33" s="5" t="n">
        <f aca="false">B32*(1+'Raw Data'!B33/100)</f>
        <v>94.4582167666803</v>
      </c>
      <c r="C33" s="5" t="n">
        <f aca="false">C32*(1+'Raw Data'!C33/100)</f>
        <v>43.5341260360281</v>
      </c>
      <c r="D33" s="5" t="n">
        <f aca="false">D32*(1+'Raw Data'!D33/100)</f>
        <v>64.3545370020516</v>
      </c>
    </row>
    <row r="34" customFormat="false" ht="15" hidden="false" customHeight="false" outlineLevel="0" collapsed="false">
      <c r="A34" s="2" t="s">
        <v>37</v>
      </c>
      <c r="B34" s="3" t="n">
        <f aca="false">B33*(1+'Raw Data'!B34/100)</f>
        <v>89.5180520297829</v>
      </c>
      <c r="C34" s="3" t="n">
        <f aca="false">C33*(1+'Raw Data'!C34/100)</f>
        <v>36.1899189737501</v>
      </c>
      <c r="D34" s="3" t="n">
        <f aca="false">D33*(1+'Raw Data'!D34/100)</f>
        <v>57.339892468828</v>
      </c>
    </row>
    <row r="35" customFormat="false" ht="15" hidden="false" customHeight="false" outlineLevel="0" collapsed="false">
      <c r="A35" s="4" t="s">
        <v>38</v>
      </c>
      <c r="B35" s="5" t="n">
        <f aca="false">B34*(1+'Raw Data'!B35/100)</f>
        <v>93.8775811636333</v>
      </c>
      <c r="C35" s="5" t="n">
        <f aca="false">C34*(1+'Raw Data'!C35/100)</f>
        <v>40.6557549751109</v>
      </c>
      <c r="D35" s="5" t="n">
        <f aca="false">D34*(1+'Raw Data'!D35/100)</f>
        <v>62.3858030060849</v>
      </c>
    </row>
    <row r="36" customFormat="false" ht="15" hidden="false" customHeight="false" outlineLevel="0" collapsed="false">
      <c r="A36" s="2" t="s">
        <v>39</v>
      </c>
      <c r="B36" s="3" t="n">
        <f aca="false">B35*(1+'Raw Data'!B36/100)</f>
        <v>96.8065616959387</v>
      </c>
      <c r="C36" s="3" t="n">
        <f aca="false">C35*(1+'Raw Data'!C36/100)</f>
        <v>44.0830351195128</v>
      </c>
      <c r="D36" s="3" t="n">
        <f aca="false">D35*(1+'Raw Data'!D36/100)</f>
        <v>66.0665653834439</v>
      </c>
    </row>
    <row r="37" customFormat="false" ht="15" hidden="false" customHeight="false" outlineLevel="0" collapsed="false">
      <c r="A37" s="4" t="s">
        <v>40</v>
      </c>
      <c r="B37" s="5" t="n">
        <f aca="false">B36*(1+'Raw Data'!B37/100)</f>
        <v>94.0282133752653</v>
      </c>
      <c r="C37" s="5" t="n">
        <f aca="false">C36*(1+'Raw Data'!C37/100)</f>
        <v>40.5034926678083</v>
      </c>
      <c r="D37" s="5" t="n">
        <f aca="false">D36*(1+'Raw Data'!D37/100)</f>
        <v>62.1686380258207</v>
      </c>
    </row>
    <row r="38" customFormat="false" ht="15" hidden="false" customHeight="false" outlineLevel="0" collapsed="false">
      <c r="A38" s="2" t="s">
        <v>41</v>
      </c>
      <c r="B38" s="3" t="n">
        <f aca="false">B37*(1+'Raw Data'!B38/100)</f>
        <v>92.683609923999</v>
      </c>
      <c r="C38" s="3" t="n">
        <f aca="false">C37*(1+'Raw Data'!C38/100)</f>
        <v>38.9360075015641</v>
      </c>
      <c r="D38" s="3" t="n">
        <f aca="false">D37*(1+'Raw Data'!D38/100)</f>
        <v>60.4279161610977</v>
      </c>
    </row>
    <row r="39" customFormat="false" ht="15" hidden="false" customHeight="false" outlineLevel="0" collapsed="false">
      <c r="A39" s="4" t="s">
        <v>42</v>
      </c>
      <c r="B39" s="5" t="n">
        <f aca="false">B38*(1+'Raw Data'!B39/100)</f>
        <v>91.8772625176602</v>
      </c>
      <c r="C39" s="5" t="n">
        <f aca="false">C38*(1+'Raw Data'!C39/100)</f>
        <v>38.0249049260275</v>
      </c>
      <c r="D39" s="5" t="n">
        <f aca="false">D38*(1+'Raw Data'!D39/100)</f>
        <v>59.4006415863591</v>
      </c>
    </row>
    <row r="40" customFormat="false" ht="15" hidden="false" customHeight="false" outlineLevel="0" collapsed="false">
      <c r="A40" s="2" t="s">
        <v>43</v>
      </c>
      <c r="B40" s="3" t="n">
        <f aca="false">B39*(1+'Raw Data'!B40/100)</f>
        <v>91.3076234900507</v>
      </c>
      <c r="C40" s="3" t="n">
        <f aca="false">C39*(1+'Raw Data'!C40/100)</f>
        <v>37.3138392039108</v>
      </c>
      <c r="D40" s="3" t="n">
        <f aca="false">D39*(1+'Raw Data'!D40/100)</f>
        <v>58.6878338873227</v>
      </c>
    </row>
    <row r="41" customFormat="false" ht="15" hidden="false" customHeight="false" outlineLevel="0" collapsed="false">
      <c r="A41" s="4" t="s">
        <v>44</v>
      </c>
      <c r="B41" s="5" t="n">
        <f aca="false">B40*(1+'Raw Data'!B41/100)</f>
        <v>95.2703743495189</v>
      </c>
      <c r="C41" s="5" t="n">
        <f aca="false">C40*(1+'Raw Data'!C41/100)</f>
        <v>41.50418334651</v>
      </c>
      <c r="D41" s="5" t="n">
        <f aca="false">D40*(1+'Raw Data'!D41/100)</f>
        <v>63.5589240999705</v>
      </c>
    </row>
    <row r="42" customFormat="false" ht="15" hidden="false" customHeight="false" outlineLevel="0" collapsed="false">
      <c r="A42" s="2" t="s">
        <v>45</v>
      </c>
      <c r="B42" s="3" t="n">
        <f aca="false">B41*(1+'Raw Data'!B42/100)</f>
        <v>98.0046340933501</v>
      </c>
      <c r="C42" s="3" t="n">
        <f aca="false">C41*(1+'Raw Data'!C42/100)</f>
        <v>44.5879441691557</v>
      </c>
      <c r="D42" s="3" t="n">
        <f aca="false">D41*(1+'Raw Data'!D42/100)</f>
        <v>66.863988153169</v>
      </c>
    </row>
    <row r="43" customFormat="false" ht="15" hidden="false" customHeight="false" outlineLevel="0" collapsed="false">
      <c r="A43" s="4" t="s">
        <v>46</v>
      </c>
      <c r="B43" s="5" t="n">
        <f aca="false">B42*(1+'Raw Data'!B43/100)</f>
        <v>98.8278730197342</v>
      </c>
      <c r="C43" s="5" t="n">
        <f aca="false">C42*(1+'Raw Data'!C43/100)</f>
        <v>45.4217387251189</v>
      </c>
      <c r="D43" s="5" t="n">
        <f aca="false">D42*(1+'Raw Data'!D43/100)</f>
        <v>67.8000839873134</v>
      </c>
    </row>
    <row r="44" customFormat="false" ht="15" hidden="false" customHeight="false" outlineLevel="0" collapsed="false">
      <c r="A44" s="2" t="s">
        <v>47</v>
      </c>
      <c r="B44" s="3" t="n">
        <f aca="false">B43*(1+'Raw Data'!B44/100)</f>
        <v>99.9347451975552</v>
      </c>
      <c r="C44" s="3" t="n">
        <f aca="false">C43*(1+'Raw Data'!C44/100)</f>
        <v>46.7253426265298</v>
      </c>
      <c r="D44" s="3" t="n">
        <f aca="false">D43*(1+'Raw Data'!D44/100)</f>
        <v>69.1560856670596</v>
      </c>
    </row>
    <row r="45" customFormat="false" ht="15" hidden="false" customHeight="false" outlineLevel="0" collapsed="false">
      <c r="A45" s="4" t="s">
        <v>48</v>
      </c>
      <c r="B45" s="5" t="n">
        <f aca="false">B44*(1+'Raw Data'!B45/100)</f>
        <v>101.163942563485</v>
      </c>
      <c r="C45" s="5" t="n">
        <f aca="false">C44*(1+'Raw Data'!C45/100)</f>
        <v>48.0663599599112</v>
      </c>
      <c r="D45" s="5" t="n">
        <f aca="false">D44*(1+'Raw Data'!D45/100)</f>
        <v>70.5392073804008</v>
      </c>
    </row>
    <row r="46" customFormat="false" ht="15" hidden="false" customHeight="false" outlineLevel="0" collapsed="false">
      <c r="A46" s="2" t="s">
        <v>49</v>
      </c>
      <c r="B46" s="3" t="n">
        <f aca="false">B45*(1+'Raw Data'!B46/100)</f>
        <v>100.536726119592</v>
      </c>
      <c r="C46" s="3" t="n">
        <f aca="false">C45*(1+'Raw Data'!C46/100)</f>
        <v>47.3261380165286</v>
      </c>
      <c r="D46" s="3" t="n">
        <f aca="false">D45*(1+'Raw Data'!D46/100)</f>
        <v>69.7632760992164</v>
      </c>
    </row>
    <row r="47" customFormat="false" ht="15" hidden="false" customHeight="false" outlineLevel="0" collapsed="false">
      <c r="A47" s="4" t="s">
        <v>50</v>
      </c>
      <c r="B47" s="5" t="n">
        <f aca="false">B46*(1+'Raw Data'!B47/100)</f>
        <v>103.673471974523</v>
      </c>
      <c r="C47" s="5" t="n">
        <f aca="false">C46*(1+'Raw Data'!C47/100)</f>
        <v>50.8424700711567</v>
      </c>
      <c r="D47" s="5" t="n">
        <f aca="false">D46*(1+'Raw Data'!D47/100)</f>
        <v>73.6700195607725</v>
      </c>
    </row>
    <row r="48" customFormat="false" ht="15" hidden="false" customHeight="false" outlineLevel="0" collapsed="false">
      <c r="A48" s="2" t="s">
        <v>51</v>
      </c>
      <c r="B48" s="3" t="n">
        <f aca="false">B47*(1+'Raw Data'!B48/100)</f>
        <v>104.316247500765</v>
      </c>
      <c r="C48" s="3" t="n">
        <f aca="false">C47*(1+'Raw Data'!C48/100)</f>
        <v>51.4678324530319</v>
      </c>
      <c r="D48" s="3" t="n">
        <f aca="false">D47*(1+'Raw Data'!D48/100)</f>
        <v>74.3330497368195</v>
      </c>
    </row>
    <row r="49" customFormat="false" ht="15" hidden="false" customHeight="false" outlineLevel="0" collapsed="false">
      <c r="A49" s="4" t="s">
        <v>52</v>
      </c>
      <c r="B49" s="5" t="n">
        <f aca="false">B48*(1+'Raw Data'!B49/100)</f>
        <v>107.310123804037</v>
      </c>
      <c r="C49" s="5" t="n">
        <f aca="false">C48*(1+'Raw Data'!C49/100)</f>
        <v>55.0036725425552</v>
      </c>
      <c r="D49" s="5" t="n">
        <f aca="false">D48*(1+'Raw Data'!D49/100)</f>
        <v>78.1983683231341</v>
      </c>
    </row>
    <row r="50" customFormat="false" ht="15" hidden="false" customHeight="false" outlineLevel="0" collapsed="false">
      <c r="A50" s="2" t="s">
        <v>53</v>
      </c>
      <c r="B50" s="3" t="n">
        <f aca="false">B49*(1+'Raw Data'!B50/100)</f>
        <v>108.511997190642</v>
      </c>
      <c r="C50" s="3" t="n">
        <f aca="false">C49*(1+'Raw Data'!C50/100)</f>
        <v>56.3402617853393</v>
      </c>
      <c r="D50" s="3" t="n">
        <f aca="false">D49*(1+'Raw Data'!D50/100)</f>
        <v>79.7623356895968</v>
      </c>
    </row>
    <row r="51" customFormat="false" ht="15" hidden="false" customHeight="false" outlineLevel="0" collapsed="false">
      <c r="A51" s="4" t="s">
        <v>54</v>
      </c>
      <c r="B51" s="5" t="n">
        <f aca="false">B50*(1+'Raw Data'!B51/100)</f>
        <v>109.456051566201</v>
      </c>
      <c r="C51" s="5" t="n">
        <f aca="false">C50*(1+'Raw Data'!C51/100)</f>
        <v>57.5346753351885</v>
      </c>
      <c r="D51" s="5" t="n">
        <f aca="false">D50*(1+'Raw Data'!D51/100)</f>
        <v>81.0385330606303</v>
      </c>
    </row>
    <row r="52" customFormat="false" ht="15" hidden="false" customHeight="false" outlineLevel="0" collapsed="false">
      <c r="A52" s="2" t="s">
        <v>55</v>
      </c>
      <c r="B52" s="3" t="n">
        <f aca="false">B51*(1+'Raw Data'!B52/100)</f>
        <v>108.503783917575</v>
      </c>
      <c r="C52" s="3" t="n">
        <f aca="false">C51*(1+'Raw Data'!C52/100)</f>
        <v>56.3149402180825</v>
      </c>
      <c r="D52" s="3" t="n">
        <f aca="false">D51*(1+'Raw Data'!D52/100)</f>
        <v>79.8229550647209</v>
      </c>
    </row>
    <row r="53" customFormat="false" ht="15" hidden="false" customHeight="false" outlineLevel="0" collapsed="false">
      <c r="A53" s="4" t="s">
        <v>56</v>
      </c>
      <c r="B53" s="5" t="n">
        <f aca="false">B52*(1+'Raw Data'!B53/100)</f>
        <v>107.483848348749</v>
      </c>
      <c r="C53" s="5" t="n">
        <f aca="false">C52*(1+'Raw Data'!C53/100)</f>
        <v>54.9971706169794</v>
      </c>
      <c r="D53" s="5" t="n">
        <f aca="false">D52*(1+'Raw Data'!D53/100)</f>
        <v>78.4659648286206</v>
      </c>
    </row>
    <row r="54" customFormat="false" ht="15" hidden="false" customHeight="false" outlineLevel="0" collapsed="false">
      <c r="A54" s="2" t="s">
        <v>57</v>
      </c>
      <c r="B54" s="3" t="n">
        <f aca="false">B53*(1+'Raw Data'!B54/100)</f>
        <v>108.3007255962</v>
      </c>
      <c r="C54" s="3" t="n">
        <f aca="false">C53*(1+'Raw Data'!C54/100)</f>
        <v>56.0256177075169</v>
      </c>
      <c r="D54" s="3" t="n">
        <f aca="false">D53*(1+'Raw Data'!D54/100)</f>
        <v>79.5644883362213</v>
      </c>
    </row>
    <row r="55" customFormat="false" ht="15" hidden="false" customHeight="false" outlineLevel="0" collapsed="false">
      <c r="A55" s="4" t="s">
        <v>58</v>
      </c>
      <c r="B55" s="5" t="n">
        <f aca="false">B54*(1+'Raw Data'!B55/100)</f>
        <v>109.513693722877</v>
      </c>
      <c r="C55" s="5" t="n">
        <f aca="false">C54*(1+'Raw Data'!C55/100)</f>
        <v>57.3870402178095</v>
      </c>
      <c r="D55" s="5" t="n">
        <f aca="false">D54*(1+'Raw Data'!D55/100)</f>
        <v>81.0762136146095</v>
      </c>
    </row>
    <row r="56" customFormat="false" ht="15" hidden="false" customHeight="false" outlineLevel="0" collapsed="false">
      <c r="A56" s="2" t="s">
        <v>59</v>
      </c>
      <c r="B56" s="3" t="n">
        <f aca="false">B55*(1+'Raw Data'!B56/100)</f>
        <v>107.46578765026</v>
      </c>
      <c r="C56" s="3" t="n">
        <f aca="false">C55*(1+'Raw Data'!C56/100)</f>
        <v>54.8447943361606</v>
      </c>
      <c r="D56" s="3" t="n">
        <f aca="false">D55*(1+'Raw Data'!D56/100)</f>
        <v>78.4006985653274</v>
      </c>
    </row>
    <row r="57" customFormat="false" ht="15" hidden="false" customHeight="false" outlineLevel="0" collapsed="false">
      <c r="A57" s="4" t="s">
        <v>60</v>
      </c>
      <c r="B57" s="5" t="n">
        <f aca="false">B56*(1+'Raw Data'!B57/100)</f>
        <v>107.83117132827</v>
      </c>
      <c r="C57" s="5" t="n">
        <f aca="false">C56*(1+'Raw Data'!C57/100)</f>
        <v>55.1848320610448</v>
      </c>
      <c r="D57" s="5" t="n">
        <f aca="false">D56*(1+'Raw Data'!D57/100)</f>
        <v>78.7143013595887</v>
      </c>
    </row>
    <row r="58" customFormat="false" ht="15" hidden="false" customHeight="false" outlineLevel="0" collapsed="false">
      <c r="A58" s="2" t="s">
        <v>61</v>
      </c>
      <c r="B58" s="3" t="n">
        <f aca="false">B57*(1+'Raw Data'!B58/100)</f>
        <v>108.499724590506</v>
      </c>
      <c r="C58" s="3" t="n">
        <f aca="false">C57*(1+'Raw Data'!C58/100)</f>
        <v>55.9739751595177</v>
      </c>
      <c r="D58" s="3" t="n">
        <f aca="false">D57*(1+'Raw Data'!D58/100)</f>
        <v>79.5801586745442</v>
      </c>
    </row>
    <row r="59" customFormat="false" ht="15" hidden="false" customHeight="false" outlineLevel="0" collapsed="false">
      <c r="A59" s="4" t="s">
        <v>62</v>
      </c>
      <c r="B59" s="5" t="n">
        <f aca="false">B58*(1+'Raw Data'!B59/100)</f>
        <v>109.443672194443</v>
      </c>
      <c r="C59" s="5" t="n">
        <f aca="false">C58*(1+'Raw Data'!C59/100)</f>
        <v>57.0598702776124</v>
      </c>
      <c r="D59" s="5" t="n">
        <f aca="false">D58*(1+'Raw Data'!D59/100)</f>
        <v>80.7738610546623</v>
      </c>
    </row>
    <row r="60" customFormat="false" ht="15" hidden="false" customHeight="false" outlineLevel="0" collapsed="false">
      <c r="A60" s="2" t="s">
        <v>63</v>
      </c>
      <c r="B60" s="3" t="n">
        <f aca="false">B59*(1+'Raw Data'!B60/100)</f>
        <v>111.884266084379</v>
      </c>
      <c r="C60" s="3" t="n">
        <f aca="false">C59*(1+'Raw Data'!C60/100)</f>
        <v>60.1582212336867</v>
      </c>
      <c r="D60" s="3" t="n">
        <f aca="false">D59*(1+'Raw Data'!D60/100)</f>
        <v>84.0855893579035</v>
      </c>
    </row>
    <row r="61" customFormat="false" ht="15" hidden="false" customHeight="false" outlineLevel="0" collapsed="false">
      <c r="A61" s="4" t="s">
        <v>64</v>
      </c>
      <c r="B61" s="5" t="n">
        <f aca="false">B60*(1+'Raw Data'!B61/100)</f>
        <v>114.054820846416</v>
      </c>
      <c r="C61" s="5" t="n">
        <f aca="false">C60*(1+'Raw Data'!C61/100)</f>
        <v>62.6367399485146</v>
      </c>
      <c r="D61" s="5" t="n">
        <f aca="false">D60*(1+'Raw Data'!D61/100)</f>
        <v>86.9444993960722</v>
      </c>
    </row>
    <row r="62" customFormat="false" ht="15" hidden="false" customHeight="false" outlineLevel="0" collapsed="false">
      <c r="A62" s="2" t="s">
        <v>65</v>
      </c>
      <c r="B62" s="3" t="n">
        <f aca="false">B61*(1+'Raw Data'!B62/100)</f>
        <v>112.526486247074</v>
      </c>
      <c r="C62" s="3" t="n">
        <f aca="false">C61*(1+'Raw Data'!C62/100)</f>
        <v>60.6824736621209</v>
      </c>
      <c r="D62" s="3" t="n">
        <f aca="false">D61*(1+'Raw Data'!D62/100)</f>
        <v>84.8578314105665</v>
      </c>
    </row>
    <row r="63" customFormat="false" ht="15" hidden="false" customHeight="false" outlineLevel="0" collapsed="false">
      <c r="A63" s="4" t="s">
        <v>66</v>
      </c>
      <c r="B63" s="5" t="n">
        <f aca="false">B62*(1+'Raw Data'!B63/100)</f>
        <v>113.786782893041</v>
      </c>
      <c r="C63" s="5" t="n">
        <f aca="false">C62*(1+'Raw Data'!C63/100)</f>
        <v>62.3026957088996</v>
      </c>
      <c r="D63" s="5" t="n">
        <f aca="false">D62*(1+'Raw Data'!D63/100)</f>
        <v>86.5549880387778</v>
      </c>
    </row>
    <row r="64" customFormat="false" ht="15" hidden="false" customHeight="false" outlineLevel="0" collapsed="false">
      <c r="A64" s="2" t="s">
        <v>67</v>
      </c>
      <c r="B64" s="3" t="n">
        <f aca="false">B63*(1+'Raw Data'!B64/100)</f>
        <v>112.626157707532</v>
      </c>
      <c r="C64" s="3" t="n">
        <f aca="false">C63*(1+'Raw Data'!C64/100)</f>
        <v>60.7887402031733</v>
      </c>
      <c r="D64" s="3" t="n">
        <f aca="false">D63*(1+'Raw Data'!D64/100)</f>
        <v>84.910443266041</v>
      </c>
    </row>
    <row r="65" customFormat="false" ht="15" hidden="false" customHeight="false" outlineLevel="0" collapsed="false">
      <c r="A65" s="4" t="s">
        <v>68</v>
      </c>
      <c r="B65" s="5" t="n">
        <f aca="false">B64*(1+'Raw Data'!B65/100)</f>
        <v>111.364744741208</v>
      </c>
      <c r="C65" s="5" t="n">
        <f aca="false">C64*(1+'Raw Data'!C65/100)</f>
        <v>59.1656808397486</v>
      </c>
      <c r="D65" s="5" t="n">
        <f aca="false">D64*(1+'Raw Data'!D65/100)</f>
        <v>83.2122344007202</v>
      </c>
    </row>
    <row r="66" customFormat="false" ht="15" hidden="false" customHeight="false" outlineLevel="0" collapsed="false">
      <c r="A66" s="2" t="s">
        <v>69</v>
      </c>
      <c r="B66" s="3" t="n">
        <f aca="false">B65*(1+'Raw Data'!B66/100)</f>
        <v>113.291354825231</v>
      </c>
      <c r="C66" s="3" t="n">
        <f aca="false">C65*(1+'Raw Data'!C66/100)</f>
        <v>61.6033068903462</v>
      </c>
      <c r="D66" s="3" t="n">
        <f aca="false">D65*(1+'Raw Data'!D66/100)</f>
        <v>85.7918136671425</v>
      </c>
    </row>
    <row r="67" customFormat="false" ht="15" hidden="false" customHeight="false" outlineLevel="0" collapsed="false">
      <c r="A67" s="4" t="s">
        <v>70</v>
      </c>
      <c r="B67" s="5" t="n">
        <f aca="false">B66*(1+'Raw Data'!B67/100)</f>
        <v>113.427304451021</v>
      </c>
      <c r="C67" s="5" t="n">
        <f aca="false">C66*(1+'Raw Data'!C67/100)</f>
        <v>61.744994496194</v>
      </c>
      <c r="D67" s="5" t="n">
        <f aca="false">D66*(1+'Raw Data'!D67/100)</f>
        <v>85.8776054808096</v>
      </c>
    </row>
    <row r="68" customFormat="false" ht="15" hidden="false" customHeight="false" outlineLevel="0" collapsed="false">
      <c r="A68" s="2" t="s">
        <v>71</v>
      </c>
      <c r="B68" s="3" t="n">
        <f aca="false">B67*(1+'Raw Data'!B68/100)</f>
        <v>115.831963305383</v>
      </c>
      <c r="C68" s="3" t="n">
        <f aca="false">C67*(1+'Raw Data'!C68/100)</f>
        <v>64.9063382143991</v>
      </c>
      <c r="D68" s="3" t="n">
        <f aca="false">D67*(1+'Raw Data'!D68/100)</f>
        <v>89.1409544890804</v>
      </c>
    </row>
    <row r="69" customFormat="false" ht="15" hidden="false" customHeight="false" outlineLevel="0" collapsed="false">
      <c r="A69" s="4" t="s">
        <v>72</v>
      </c>
      <c r="B69" s="5" t="n">
        <f aca="false">B68*(1+'Raw Data'!B69/100)</f>
        <v>115.11380513289</v>
      </c>
      <c r="C69" s="5" t="n">
        <f aca="false">C68*(1+'Raw Data'!C69/100)</f>
        <v>64.0365932823262</v>
      </c>
      <c r="D69" s="5" t="n">
        <f aca="false">D68*(1+'Raw Data'!D69/100)</f>
        <v>88.2495449441896</v>
      </c>
    </row>
    <row r="70" customFormat="false" ht="15" hidden="false" customHeight="false" outlineLevel="0" collapsed="false">
      <c r="A70" s="2" t="s">
        <v>73</v>
      </c>
      <c r="B70" s="3" t="n">
        <f aca="false">B69*(1+'Raw Data'!B70/100)</f>
        <v>115.735419680607</v>
      </c>
      <c r="C70" s="3" t="n">
        <f aca="false">C69*(1+'Raw Data'!C70/100)</f>
        <v>64.8242433796988</v>
      </c>
      <c r="D70" s="3" t="n">
        <f aca="false">D69*(1+'Raw Data'!D70/100)</f>
        <v>89.0437908486873</v>
      </c>
    </row>
    <row r="71" customFormat="false" ht="15" hidden="false" customHeight="false" outlineLevel="0" collapsed="false">
      <c r="A71" s="4" t="s">
        <v>74</v>
      </c>
      <c r="B71" s="5" t="n">
        <f aca="false">B70*(1+'Raw Data'!B71/100)</f>
        <v>114.647506735609</v>
      </c>
      <c r="C71" s="5" t="n">
        <f aca="false">C70*(1+'Raw Data'!C71/100)</f>
        <v>63.3073560846139</v>
      </c>
      <c r="D71" s="5" t="n">
        <f aca="false">D70*(1+'Raw Data'!D71/100)</f>
        <v>87.4410026134109</v>
      </c>
    </row>
    <row r="72" customFormat="false" ht="15" hidden="false" customHeight="false" outlineLevel="0" collapsed="false">
      <c r="A72" s="2" t="s">
        <v>75</v>
      </c>
      <c r="B72" s="3" t="n">
        <f aca="false">B71*(1+'Raw Data'!B72/100)</f>
        <v>116.791415111565</v>
      </c>
      <c r="C72" s="3" t="n">
        <f aca="false">C71*(1+'Raw Data'!C72/100)</f>
        <v>66.232155935723</v>
      </c>
      <c r="D72" s="3" t="n">
        <f aca="false">D71*(1+'Raw Data'!D72/100)</f>
        <v>90.5888787074937</v>
      </c>
    </row>
    <row r="73" customFormat="false" ht="15" hidden="false" customHeight="false" outlineLevel="0" collapsed="false">
      <c r="A73" s="4" t="s">
        <v>76</v>
      </c>
      <c r="B73" s="5" t="n">
        <f aca="false">B72*(1+'Raw Data'!B73/100)</f>
        <v>116.931564809699</v>
      </c>
      <c r="C73" s="5" t="n">
        <f aca="false">C72*(1+'Raw Data'!C73/100)</f>
        <v>66.3844898943752</v>
      </c>
      <c r="D73" s="5" t="n">
        <f aca="false">D72*(1+'Raw Data'!D73/100)</f>
        <v>90.5888787074937</v>
      </c>
    </row>
    <row r="74" customFormat="false" ht="15" hidden="false" customHeight="false" outlineLevel="0" collapsed="false">
      <c r="A74" s="2" t="s">
        <v>77</v>
      </c>
      <c r="B74" s="3" t="n">
        <f aca="false">B73*(1+'Raw Data'!B74/100)</f>
        <v>118.603686186478</v>
      </c>
      <c r="C74" s="3" t="n">
        <f aca="false">C73*(1+'Raw Data'!C74/100)</f>
        <v>68.6614778977523</v>
      </c>
      <c r="D74" s="3" t="n">
        <f aca="false">D73*(1+'Raw Data'!D74/100)</f>
        <v>93.034778432596</v>
      </c>
    </row>
    <row r="75" customFormat="false" ht="15" hidden="false" customHeight="false" outlineLevel="0" collapsed="false">
      <c r="A75" s="4" t="s">
        <v>78</v>
      </c>
      <c r="B75" s="5" t="n">
        <f aca="false">B74*(1+'Raw Data'!B75/100)</f>
        <v>118.876474664707</v>
      </c>
      <c r="C75" s="5" t="n">
        <f aca="false">C74*(1+'Raw Data'!C75/100)</f>
        <v>69.0322498784001</v>
      </c>
      <c r="D75" s="5" t="n">
        <f aca="false">D74*(1+'Raw Data'!D75/100)</f>
        <v>93.3138827678938</v>
      </c>
    </row>
    <row r="76" customFormat="false" ht="15" hidden="false" customHeight="false" outlineLevel="0" collapsed="false">
      <c r="A76" s="2" t="s">
        <v>79</v>
      </c>
      <c r="B76" s="3" t="n">
        <f aca="false">B75*(1+'Raw Data'!B76/100)</f>
        <v>119.779935872159</v>
      </c>
      <c r="C76" s="3" t="n">
        <f aca="false">C75*(1+'Raw Data'!C76/100)</f>
        <v>70.2265078012965</v>
      </c>
      <c r="D76" s="3" t="n">
        <f aca="false">D75*(1+'Raw Data'!D76/100)</f>
        <v>94.5269632438764</v>
      </c>
    </row>
    <row r="77" customFormat="false" ht="15" hidden="false" customHeight="false" outlineLevel="0" collapsed="false">
      <c r="A77" s="4" t="s">
        <v>80</v>
      </c>
      <c r="B77" s="5" t="n">
        <f aca="false">B76*(1+'Raw Data'!B77/100)</f>
        <v>120.690263384787</v>
      </c>
      <c r="C77" s="5" t="n">
        <f aca="false">C76*(1+'Raw Data'!C77/100)</f>
        <v>71.4414263862589</v>
      </c>
      <c r="D77" s="5" t="n">
        <f aca="false">D76*(1+'Raw Data'!D77/100)</f>
        <v>95.7558137660468</v>
      </c>
    </row>
    <row r="78" customFormat="false" ht="15" hidden="false" customHeight="false" outlineLevel="0" collapsed="false">
      <c r="A78" s="2" t="s">
        <v>81</v>
      </c>
      <c r="B78" s="3" t="n">
        <f aca="false">B77*(1+'Raw Data'!B78/100)</f>
        <v>118.735081117953</v>
      </c>
      <c r="C78" s="3" t="n">
        <f aca="false">C77*(1+'Raw Data'!C78/100)</f>
        <v>68.498039619145</v>
      </c>
      <c r="D78" s="3" t="n">
        <f aca="false">D77*(1+'Raw Data'!D78/100)</f>
        <v>92.7873835392993</v>
      </c>
    </row>
    <row r="79" customFormat="false" ht="15" hidden="false" customHeight="false" outlineLevel="0" collapsed="false">
      <c r="A79" s="4" t="s">
        <v>82</v>
      </c>
      <c r="B79" s="5" t="n">
        <f aca="false">B78*(1+'Raw Data'!B79/100)</f>
        <v>119.008171804525</v>
      </c>
      <c r="C79" s="5" t="n">
        <f aca="false">C78*(1+'Raw Data'!C79/100)</f>
        <v>68.7925811895074</v>
      </c>
      <c r="D79" s="5" t="n">
        <f aca="false">D78*(1+'Raw Data'!D79/100)</f>
        <v>92.9729583063779</v>
      </c>
    </row>
    <row r="80" customFormat="false" ht="15" hidden="false" customHeight="false" outlineLevel="0" collapsed="false">
      <c r="A80" s="2" t="s">
        <v>83</v>
      </c>
      <c r="B80" s="3" t="n">
        <f aca="false">B79*(1+'Raw Data'!B80/100)</f>
        <v>119.519906943284</v>
      </c>
      <c r="C80" s="3" t="n">
        <f aca="false">C79*(1+'Raw Data'!C80/100)</f>
        <v>69.3910766458561</v>
      </c>
      <c r="D80" s="3" t="n">
        <f aca="false">D79*(1+'Raw Data'!D80/100)</f>
        <v>93.5307960562162</v>
      </c>
    </row>
    <row r="81" customFormat="false" ht="15" hidden="false" customHeight="false" outlineLevel="0" collapsed="false">
      <c r="A81" s="4" t="s">
        <v>84</v>
      </c>
      <c r="B81" s="5" t="n">
        <f aca="false">B80*(1+'Raw Data'!B81/100)</f>
        <v>121.121473696324</v>
      </c>
      <c r="C81" s="5" t="n">
        <f aca="false">C80*(1+'Raw Data'!C81/100)</f>
        <v>71.5560782372068</v>
      </c>
      <c r="D81" s="5" t="n">
        <f aca="false">D80*(1+'Raw Data'!D81/100)</f>
        <v>95.7755351615654</v>
      </c>
    </row>
    <row r="82" customFormat="false" ht="15" hidden="false" customHeight="false" outlineLevel="0" collapsed="false">
      <c r="A82" s="2" t="s">
        <v>85</v>
      </c>
      <c r="B82" s="3" t="n">
        <f aca="false">B81*(1+'Raw Data'!B82/100)</f>
        <v>122.853510770182</v>
      </c>
      <c r="C82" s="3" t="n">
        <f aca="false">C81*(1+'Raw Data'!C82/100)</f>
        <v>74.010451720743</v>
      </c>
      <c r="D82" s="3" t="n">
        <f aca="false">D81*(1+'Raw Data'!D82/100)</f>
        <v>98.1699235406045</v>
      </c>
    </row>
    <row r="83" customFormat="false" ht="15" hidden="false" customHeight="false" outlineLevel="0" collapsed="false">
      <c r="A83" s="4" t="s">
        <v>86</v>
      </c>
      <c r="B83" s="5" t="n">
        <f aca="false">B82*(1+'Raw Data'!B83/100)</f>
        <v>125.150871421584</v>
      </c>
      <c r="C83" s="5" t="n">
        <f aca="false">C82*(1+'Raw Data'!C83/100)</f>
        <v>77.2891147319719</v>
      </c>
      <c r="D83" s="5" t="n">
        <f aca="false">D82*(1+'Raw Data'!D83/100)</f>
        <v>101.409531017444</v>
      </c>
    </row>
    <row r="84" customFormat="false" ht="15" hidden="false" customHeight="false" outlineLevel="0" collapsed="false">
      <c r="A84" s="2" t="s">
        <v>87</v>
      </c>
      <c r="B84" s="3" t="n">
        <f aca="false">B83*(1+'Raw Data'!B84/100)</f>
        <v>126.552561181506</v>
      </c>
      <c r="C84" s="3" t="n">
        <f aca="false">C83*(1+'Raw Data'!C84/100)</f>
        <v>79.1672402199588</v>
      </c>
      <c r="D84" s="3" t="n">
        <f aca="false">D83*(1+'Raw Data'!D84/100)</f>
        <v>103.336312106776</v>
      </c>
    </row>
    <row r="85" customFormat="false" ht="15" hidden="false" customHeight="false" outlineLevel="0" collapsed="false">
      <c r="A85" s="4" t="s">
        <v>88</v>
      </c>
      <c r="B85" s="5" t="n">
        <f aca="false">B84*(1+'Raw Data'!B85/100)</f>
        <v>127.653568463785</v>
      </c>
      <c r="C85" s="5" t="n">
        <f aca="false">C84*(1+'Raw Data'!C85/100)</f>
        <v>80.5368334757641</v>
      </c>
      <c r="D85" s="5" t="n">
        <f aca="false">D84*(1+'Raw Data'!D85/100)</f>
        <v>104.679684164164</v>
      </c>
    </row>
    <row r="86" customFormat="false" ht="15" hidden="false" customHeight="false" outlineLevel="0" collapsed="false">
      <c r="A86" s="2" t="s">
        <v>89</v>
      </c>
      <c r="B86" s="3" t="n">
        <f aca="false">B85*(1+'Raw Data'!B86/100)</f>
        <v>128.853512007344</v>
      </c>
      <c r="C86" s="3" t="n">
        <f aca="false">C85*(1+'Raw Data'!C86/100)</f>
        <v>82.2442143454503</v>
      </c>
      <c r="D86" s="3" t="n">
        <f aca="false">D85*(1+'Raw Data'!D86/100)</f>
        <v>106.354559110791</v>
      </c>
    </row>
    <row r="87" customFormat="false" ht="15" hidden="false" customHeight="false" outlineLevel="0" collapsed="false">
      <c r="A87" s="4" t="s">
        <v>90</v>
      </c>
      <c r="B87" s="5" t="n">
        <f aca="false">B86*(1+'Raw Data'!B87/100)</f>
        <v>127.642288994475</v>
      </c>
      <c r="C87" s="5" t="n">
        <f aca="false">C86*(1+'Raw Data'!C87/100)</f>
        <v>80.0482938224268</v>
      </c>
      <c r="D87" s="5" t="n">
        <f aca="false">D86*(1+'Raw Data'!D87/100)</f>
        <v>104.333822487686</v>
      </c>
    </row>
    <row r="88" customFormat="false" ht="15" hidden="false" customHeight="false" outlineLevel="0" collapsed="false">
      <c r="A88" s="2" t="s">
        <v>91</v>
      </c>
      <c r="B88" s="3" t="n">
        <f aca="false">B87*(1+'Raw Data'!B88/100)</f>
        <v>128.433671186241</v>
      </c>
      <c r="C88" s="3" t="n">
        <f aca="false">C87*(1+'Raw Data'!C88/100)</f>
        <v>81.1929844240875</v>
      </c>
      <c r="D88" s="3" t="n">
        <f aca="false">D87*(1+'Raw Data'!D88/100)</f>
        <v>105.48149453505</v>
      </c>
    </row>
    <row r="89" customFormat="false" ht="15" hidden="false" customHeight="false" outlineLevel="0" collapsed="false">
      <c r="A89" s="4" t="s">
        <v>92</v>
      </c>
      <c r="B89" s="5" t="n">
        <f aca="false">B88*(1+'Raw Data'!B89/100)</f>
        <v>131.554609396067</v>
      </c>
      <c r="C89" s="5" t="n">
        <f aca="false">C88*(1+'Raw Data'!C89/100)</f>
        <v>85.9590126097814</v>
      </c>
      <c r="D89" s="5" t="n">
        <f aca="false">D88*(1+'Raw Data'!D89/100)</f>
        <v>110.122680294592</v>
      </c>
    </row>
    <row r="90" customFormat="false" ht="15" hidden="false" customHeight="false" outlineLevel="0" collapsed="false">
      <c r="A90" s="2" t="s">
        <v>93</v>
      </c>
      <c r="B90" s="3" t="n">
        <f aca="false">B89*(1+'Raw Data'!B90/100)</f>
        <v>133.830504138619</v>
      </c>
      <c r="C90" s="3" t="n">
        <f aca="false">C89*(1+'Raw Data'!C90/100)</f>
        <v>89.7669968683947</v>
      </c>
      <c r="D90" s="3" t="n">
        <f aca="false">D89*(1+'Raw Data'!D90/100)</f>
        <v>113.756728744314</v>
      </c>
    </row>
    <row r="91" customFormat="false" ht="15" hidden="false" customHeight="false" outlineLevel="0" collapsed="false">
      <c r="A91" s="4" t="s">
        <v>94</v>
      </c>
      <c r="B91" s="5" t="n">
        <f aca="false">B90*(1+'Raw Data'!B91/100)</f>
        <v>132.666178752613</v>
      </c>
      <c r="C91" s="5" t="n">
        <f aca="false">C90*(1+'Raw Data'!C91/100)</f>
        <v>87.3702180520086</v>
      </c>
      <c r="D91" s="5" t="n">
        <f aca="false">D90*(1+'Raw Data'!D91/100)</f>
        <v>111.709107626916</v>
      </c>
    </row>
    <row r="92" customFormat="false" ht="15" hidden="false" customHeight="false" outlineLevel="0" collapsed="false">
      <c r="A92" s="2" t="s">
        <v>95</v>
      </c>
      <c r="B92" s="3" t="n">
        <f aca="false">B91*(1+'Raw Data'!B92/100)</f>
        <v>130.623119599823</v>
      </c>
      <c r="C92" s="3" t="n">
        <f aca="false">C91*(1+'Raw Data'!C92/100)</f>
        <v>83.1152884328758</v>
      </c>
      <c r="D92" s="3" t="n">
        <f aca="false">D91*(1+'Raw Data'!D92/100)</f>
        <v>108.246125290482</v>
      </c>
    </row>
    <row r="93" customFormat="false" ht="15" hidden="false" customHeight="false" outlineLevel="0" collapsed="false">
      <c r="A93" s="4" t="s">
        <v>96</v>
      </c>
      <c r="B93" s="5" t="n">
        <f aca="false">B92*(1+'Raw Data'!B93/100)</f>
        <v>131.615855308781</v>
      </c>
      <c r="C93" s="5" t="n">
        <f aca="false">C92*(1+'Raw Data'!C93/100)</f>
        <v>84.8773325476527</v>
      </c>
      <c r="D93" s="5" t="n">
        <f aca="false">D92*(1+'Raw Data'!D93/100)</f>
        <v>109.761571044549</v>
      </c>
    </row>
    <row r="94" customFormat="false" ht="15" hidden="false" customHeight="false" outlineLevel="0" collapsed="false">
      <c r="A94" s="2" t="s">
        <v>97</v>
      </c>
      <c r="B94" s="3" t="n">
        <f aca="false">B93*(1+'Raw Data'!B94/100)</f>
        <v>134.077071803055</v>
      </c>
      <c r="C94" s="3" t="n">
        <f aca="false">C93*(1+'Raw Data'!C94/100)</f>
        <v>89.4861717049903</v>
      </c>
      <c r="D94" s="3" t="n">
        <f aca="false">D93*(1+'Raw Data'!D94/100)</f>
        <v>113.932510744241</v>
      </c>
    </row>
    <row r="95" customFormat="false" ht="15" hidden="false" customHeight="false" outlineLevel="0" collapsed="false">
      <c r="A95" s="4" t="s">
        <v>98</v>
      </c>
      <c r="B95" s="5" t="n">
        <f aca="false">B94*(1+'Raw Data'!B95/100)</f>
        <v>135.243542327742</v>
      </c>
      <c r="C95" s="5" t="n">
        <f aca="false">C94*(1+'Raw Data'!C95/100)</f>
        <v>91.6606856774215</v>
      </c>
      <c r="D95" s="5" t="n">
        <f aca="false">D94*(1+'Raw Data'!D95/100)</f>
        <v>115.869363426894</v>
      </c>
    </row>
    <row r="96" customFormat="false" ht="15" hidden="false" customHeight="false" outlineLevel="0" collapsed="false">
      <c r="A96" s="2" t="s">
        <v>99</v>
      </c>
      <c r="B96" s="3" t="n">
        <f aca="false">B95*(1+'Raw Data'!B96/100)</f>
        <v>132.376379230394</v>
      </c>
      <c r="C96" s="3" t="n">
        <f aca="false">C95*(1+'Raw Data'!C96/100)</f>
        <v>85.3635965713827</v>
      </c>
      <c r="D96" s="3" t="n">
        <f aca="false">D95*(1+'Raw Data'!D96/100)</f>
        <v>110.42350334583</v>
      </c>
    </row>
    <row r="97" customFormat="false" ht="15" hidden="false" customHeight="false" outlineLevel="0" collapsed="false">
      <c r="A97" s="4" t="s">
        <v>100</v>
      </c>
      <c r="B97" s="5" t="n">
        <f aca="false">B96*(1+'Raw Data'!B97/100)</f>
        <v>131.807160799703</v>
      </c>
      <c r="C97" s="5" t="n">
        <f aca="false">C96*(1+'Raw Data'!C97/100)</f>
        <v>84.3136243335547</v>
      </c>
      <c r="D97" s="5" t="n">
        <f aca="false">D96*(1+'Raw Data'!D97/100)</f>
        <v>109.429691815717</v>
      </c>
    </row>
    <row r="98" customFormat="false" ht="15" hidden="false" customHeight="false" outlineLevel="0" collapsed="false">
      <c r="A98" s="2" t="s">
        <v>101</v>
      </c>
      <c r="B98" s="3" t="n">
        <f aca="false">B97*(1+'Raw Data'!B98/100)</f>
        <v>128.024295284752</v>
      </c>
      <c r="C98" s="3" t="n">
        <f aca="false">C97*(1+'Raw Data'!C98/100)</f>
        <v>76.3628495589005</v>
      </c>
      <c r="D98" s="3" t="n">
        <f aca="false">D97*(1+'Raw Data'!D98/100)</f>
        <v>102.535621231327</v>
      </c>
    </row>
    <row r="99" customFormat="false" ht="15" hidden="false" customHeight="false" outlineLevel="0" collapsed="false">
      <c r="A99" s="4" t="s">
        <v>102</v>
      </c>
      <c r="B99" s="5" t="n">
        <f aca="false">B98*(1+'Raw Data'!B99/100)</f>
        <v>126.052721137367</v>
      </c>
      <c r="C99" s="5" t="n">
        <f aca="false">C98*(1+'Raw Data'!C99/100)</f>
        <v>72.9799753234412</v>
      </c>
      <c r="D99" s="5" t="n">
        <f aca="false">D98*(1+'Raw Data'!D99/100)</f>
        <v>99.3570169731557</v>
      </c>
    </row>
    <row r="100" customFormat="false" ht="15" hidden="false" customHeight="false" outlineLevel="0" collapsed="false">
      <c r="A100" s="2" t="s">
        <v>103</v>
      </c>
      <c r="B100" s="3" t="n">
        <f aca="false">B99*(1+'Raw Data'!B100/100)</f>
        <v>125.510694436476</v>
      </c>
      <c r="C100" s="3" t="n">
        <f aca="false">C99*(1+'Raw Data'!C100/100)</f>
        <v>72.1625995998186</v>
      </c>
      <c r="D100" s="3" t="n">
        <f aca="false">D99*(1+'Raw Data'!D100/100)</f>
        <v>98.6615178543436</v>
      </c>
    </row>
    <row r="101" customFormat="false" ht="15" hidden="false" customHeight="false" outlineLevel="0" collapsed="false">
      <c r="A101" s="4" t="s">
        <v>104</v>
      </c>
      <c r="B101" s="5" t="n">
        <f aca="false">B100*(1+'Raw Data'!B101/100)</f>
        <v>128.447644686289</v>
      </c>
      <c r="C101" s="5" t="n">
        <f aca="false">C100*(1+'Raw Data'!C101/100)</f>
        <v>77.1201701923262</v>
      </c>
      <c r="D101" s="5" t="n">
        <f aca="false">D100*(1+'Raw Data'!D101/100)</f>
        <v>103.397270711352</v>
      </c>
    </row>
    <row r="102" customFormat="false" ht="15" hidden="false" customHeight="false" outlineLevel="0" collapsed="false">
      <c r="A102" s="2" t="s">
        <v>105</v>
      </c>
      <c r="B102" s="3" t="n">
        <f aca="false">B101*(1+'Raw Data'!B102/100)</f>
        <v>129.423846785905</v>
      </c>
      <c r="C102" s="3" t="n">
        <f aca="false">C101*(1+'Raw Data'!C102/100)</f>
        <v>78.5623173749227</v>
      </c>
      <c r="D102" s="3" t="n">
        <f aca="false">D101*(1+'Raw Data'!D102/100)</f>
        <v>104.844832501311</v>
      </c>
    </row>
    <row r="103" customFormat="false" ht="15" hidden="false" customHeight="false" outlineLevel="0" collapsed="false">
      <c r="A103" s="4" t="s">
        <v>106</v>
      </c>
      <c r="B103" s="5" t="n">
        <f aca="false">B102*(1+'Raw Data'!B103/100)</f>
        <v>124.091584298326</v>
      </c>
      <c r="C103" s="5" t="n">
        <f aca="false">C102*(1+'Raw Data'!C103/100)</f>
        <v>68.7970213252198</v>
      </c>
      <c r="D103" s="5" t="n">
        <f aca="false">D102*(1+'Raw Data'!D103/100)</f>
        <v>95.723332073697</v>
      </c>
    </row>
    <row r="104" customFormat="false" ht="15" hidden="false" customHeight="false" outlineLevel="0" collapsed="false">
      <c r="A104" s="2" t="s">
        <v>107</v>
      </c>
      <c r="B104" s="3" t="n">
        <f aca="false">B103*(1+'Raw Data'!B104/100)</f>
        <v>123.421489743115</v>
      </c>
      <c r="C104" s="3" t="n">
        <f aca="false">C103*(1+'Raw Data'!C104/100)</f>
        <v>67.9508179629196</v>
      </c>
      <c r="D104" s="3" t="n">
        <f aca="false">D103*(1+'Raw Data'!D104/100)</f>
        <v>94.8618220850337</v>
      </c>
    </row>
    <row r="105" customFormat="false" ht="15" hidden="false" customHeight="false" outlineLevel="0" collapsed="false">
      <c r="A105" s="4" t="s">
        <v>108</v>
      </c>
      <c r="B105" s="5" t="n">
        <f aca="false">B104*(1+'Raw Data'!B105/100)</f>
        <v>124.359493065163</v>
      </c>
      <c r="C105" s="5" t="n">
        <f aca="false">C104*(1+'Raw Data'!C105/100)</f>
        <v>69.3913753037335</v>
      </c>
      <c r="D105" s="5" t="n">
        <f aca="false">D104*(1+'Raw Data'!D105/100)</f>
        <v>96.3796112383943</v>
      </c>
    </row>
    <row r="106" customFormat="false" ht="15" hidden="false" customHeight="false" outlineLevel="0" collapsed="false">
      <c r="A106" s="2" t="s">
        <v>109</v>
      </c>
      <c r="B106" s="3" t="n">
        <f aca="false">B105*(1+'Raw Data'!B106/100)</f>
        <v>118.850367522376</v>
      </c>
      <c r="C106" s="3" t="n">
        <f aca="false">C105*(1+'Raw Data'!C106/100)</f>
        <v>59.7667915491057</v>
      </c>
      <c r="D106" s="3" t="n">
        <f aca="false">D105*(1+'Raw Data'!D106/100)</f>
        <v>87.2235481707468</v>
      </c>
    </row>
    <row r="107" customFormat="false" ht="15" hidden="false" customHeight="false" outlineLevel="0" collapsed="false">
      <c r="A107" s="4" t="s">
        <v>110</v>
      </c>
      <c r="B107" s="5" t="n">
        <f aca="false">B106*(1+'Raw Data'!B107/100)</f>
        <v>109.496843598365</v>
      </c>
      <c r="C107" s="5" t="n">
        <f aca="false">C106*(1+'Raw Data'!C107/100)</f>
        <v>44.5680964581681</v>
      </c>
      <c r="D107" s="5" t="n">
        <f aca="false">D106*(1+'Raw Data'!D107/100)</f>
        <v>72.2210978853784</v>
      </c>
    </row>
    <row r="108" customFormat="false" ht="15" hidden="false" customHeight="false" outlineLevel="0" collapsed="false">
      <c r="A108" s="2" t="s">
        <v>111</v>
      </c>
      <c r="B108" s="3" t="n">
        <f aca="false">B107*(1+'Raw Data'!B108/100)</f>
        <v>105.741101862941</v>
      </c>
      <c r="C108" s="3" t="n">
        <f aca="false">C107*(1+'Raw Data'!C108/100)</f>
        <v>39.2778634085835</v>
      </c>
      <c r="D108" s="3" t="n">
        <f aca="false">D107*(1+'Raw Data'!D108/100)</f>
        <v>66.6600733482042</v>
      </c>
    </row>
    <row r="109" customFormat="false" ht="15" hidden="false" customHeight="false" outlineLevel="0" collapsed="false">
      <c r="A109" s="4" t="s">
        <v>112</v>
      </c>
      <c r="B109" s="5" t="n">
        <f aca="false">B108*(1+'Raw Data'!B109/100)</f>
        <v>106.544734237099</v>
      </c>
      <c r="C109" s="5" t="n">
        <f aca="false">C108*(1+'Raw Data'!C109/100)</f>
        <v>40.012359454324</v>
      </c>
      <c r="D109" s="5" t="n">
        <f aca="false">D108*(1+'Raw Data'!D109/100)</f>
        <v>67.5933143750791</v>
      </c>
    </row>
    <row r="110" customFormat="false" ht="15" hidden="false" customHeight="false" outlineLevel="0" collapsed="false">
      <c r="A110" s="2" t="s">
        <v>113</v>
      </c>
      <c r="B110" s="3" t="n">
        <f aca="false">B109*(1+'Raw Data'!B110/100)</f>
        <v>102.155091186531</v>
      </c>
      <c r="C110" s="3" t="n">
        <f aca="false">C109*(1+'Raw Data'!C110/100)</f>
        <v>34.8627687925525</v>
      </c>
      <c r="D110" s="3" t="n">
        <f aca="false">D109*(1+'Raw Data'!D110/100)</f>
        <v>61.7126960244472</v>
      </c>
    </row>
    <row r="111" customFormat="false" ht="15" hidden="false" customHeight="false" outlineLevel="0" collapsed="false">
      <c r="A111" s="4" t="s">
        <v>114</v>
      </c>
      <c r="B111" s="5" t="n">
        <f aca="false">B110*(1+'Raw Data'!B111/100)</f>
        <v>97.1801382457469</v>
      </c>
      <c r="C111" s="5" t="n">
        <f aca="false">C110*(1+'Raw Data'!C111/100)</f>
        <v>29.4834435678617</v>
      </c>
      <c r="D111" s="5" t="n">
        <f aca="false">D110*(1+'Raw Data'!D111/100)</f>
        <v>54.9860121577825</v>
      </c>
    </row>
    <row r="112" customFormat="false" ht="15" hidden="false" customHeight="false" outlineLevel="0" collapsed="false">
      <c r="A112" s="2" t="s">
        <v>115</v>
      </c>
      <c r="B112" s="3" t="n">
        <f aca="false">B111*(1+'Raw Data'!B112/100)</f>
        <v>101.290858093542</v>
      </c>
      <c r="C112" s="3" t="n">
        <f aca="false">C111*(1+'Raw Data'!C112/100)</f>
        <v>33.2779627550455</v>
      </c>
      <c r="D112" s="3" t="n">
        <f aca="false">D111*(1+'Raw Data'!D112/100)</f>
        <v>59.8247812276673</v>
      </c>
    </row>
    <row r="113" customFormat="false" ht="15" hidden="false" customHeight="false" outlineLevel="0" collapsed="false">
      <c r="A113" s="4" t="s">
        <v>116</v>
      </c>
      <c r="B113" s="5" t="n">
        <f aca="false">B112*(1+'Raw Data'!B113/100)</f>
        <v>106.223722882697</v>
      </c>
      <c r="C113" s="5" t="n">
        <f aca="false">C112*(1+'Raw Data'!C113/100)</f>
        <v>38.2263958167207</v>
      </c>
      <c r="D113" s="5" t="n">
        <f aca="false">D112*(1+'Raw Data'!D113/100)</f>
        <v>66.0465584753447</v>
      </c>
    </row>
    <row r="114" customFormat="false" ht="15" hidden="false" customHeight="false" outlineLevel="0" collapsed="false">
      <c r="A114" s="2" t="s">
        <v>117</v>
      </c>
      <c r="B114" s="3" t="n">
        <f aca="false">B113*(1+'Raw Data'!B114/100)</f>
        <v>109.059896283665</v>
      </c>
      <c r="C114" s="3" t="n">
        <f aca="false">C113*(1+'Raw Data'!C114/100)</f>
        <v>41.3303791570385</v>
      </c>
      <c r="D114" s="3" t="n">
        <f aca="false">D113*(1+'Raw Data'!D114/100)</f>
        <v>69.8112123084394</v>
      </c>
    </row>
    <row r="115" customFormat="false" ht="15" hidden="false" customHeight="false" outlineLevel="0" collapsed="false">
      <c r="A115" s="4" t="s">
        <v>118</v>
      </c>
      <c r="B115" s="5" t="n">
        <f aca="false">B114*(1+'Raw Data'!B115/100)</f>
        <v>109.190768159206</v>
      </c>
      <c r="C115" s="5" t="n">
        <f aca="false">C114*(1+'Raw Data'!C115/100)</f>
        <v>41.5080997874137</v>
      </c>
      <c r="D115" s="5" t="n">
        <f aca="false">D114*(1+'Raw Data'!D115/100)</f>
        <v>69.9508347330563</v>
      </c>
    </row>
    <row r="116" customFormat="false" ht="15" hidden="false" customHeight="false" outlineLevel="0" collapsed="false">
      <c r="A116" s="2" t="s">
        <v>119</v>
      </c>
      <c r="B116" s="3" t="n">
        <f aca="false">B115*(1+'Raw Data'!B116/100)</f>
        <v>113.143473966569</v>
      </c>
      <c r="C116" s="3" t="n">
        <f aca="false">C115*(1+'Raw Data'!C116/100)</f>
        <v>46.1694593935403</v>
      </c>
      <c r="D116" s="3" t="n">
        <f aca="false">D115*(1+'Raw Data'!D116/100)</f>
        <v>75.3370490075016</v>
      </c>
    </row>
    <row r="117" customFormat="false" ht="15" hidden="false" customHeight="false" outlineLevel="0" collapsed="false">
      <c r="A117" s="4" t="s">
        <v>120</v>
      </c>
      <c r="B117" s="5" t="n">
        <f aca="false">B116*(1+'Raw Data'!B117/100)</f>
        <v>115.100856066191</v>
      </c>
      <c r="C117" s="5" t="n">
        <f aca="false">C116*(1+'Raw Data'!C117/100)</f>
        <v>48.6764610386095</v>
      </c>
      <c r="D117" s="5" t="n">
        <f aca="false">D116*(1+'Raw Data'!D117/100)</f>
        <v>78.1245198207791</v>
      </c>
    </row>
    <row r="118" customFormat="false" ht="15" hidden="false" customHeight="false" outlineLevel="0" collapsed="false">
      <c r="A118" s="2" t="s">
        <v>121</v>
      </c>
      <c r="B118" s="3" t="n">
        <f aca="false">B117*(1+'Raw Data'!B118/100)</f>
        <v>117.253242074629</v>
      </c>
      <c r="C118" s="3" t="n">
        <f aca="false">C117*(1+'Raw Data'!C118/100)</f>
        <v>51.319592873006</v>
      </c>
      <c r="D118" s="3" t="n">
        <f aca="false">D117*(1+'Raw Data'!D118/100)</f>
        <v>81.0932515739687</v>
      </c>
    </row>
    <row r="119" customFormat="false" ht="15" hidden="false" customHeight="false" outlineLevel="0" collapsed="false">
      <c r="A119" s="4" t="s">
        <v>122</v>
      </c>
      <c r="B119" s="5" t="n">
        <f aca="false">B118*(1+'Raw Data'!B119/100)</f>
        <v>116.151061599127</v>
      </c>
      <c r="C119" s="5" t="n">
        <f aca="false">C118*(1+'Raw Data'!C119/100)</f>
        <v>49.8467205575508</v>
      </c>
      <c r="D119" s="5" t="n">
        <f aca="false">D118*(1+'Raw Data'!D119/100)</f>
        <v>79.5524797940633</v>
      </c>
    </row>
    <row r="120" customFormat="false" ht="15" hidden="false" customHeight="false" outlineLevel="0" collapsed="false">
      <c r="A120" s="2" t="s">
        <v>123</v>
      </c>
      <c r="B120" s="3" t="n">
        <f aca="false">B119*(1+'Raw Data'!B120/100)</f>
        <v>119.484597067022</v>
      </c>
      <c r="C120" s="3" t="n">
        <f aca="false">C119*(1+'Raw Data'!C120/100)</f>
        <v>54.2681246710055</v>
      </c>
      <c r="D120" s="3" t="n">
        <f aca="false">D119*(1+'Raw Data'!D120/100)</f>
        <v>84.4051810615012</v>
      </c>
    </row>
    <row r="121" customFormat="false" ht="15" hidden="false" customHeight="false" outlineLevel="0" collapsed="false">
      <c r="A121" s="4" t="s">
        <v>124</v>
      </c>
      <c r="B121" s="5" t="n">
        <f aca="false">B120*(1+'Raw Data'!B121/100)</f>
        <v>120.607752279452</v>
      </c>
      <c r="C121" s="5" t="n">
        <f aca="false">C120*(1+'Raw Data'!C121/100)</f>
        <v>55.8256198490634</v>
      </c>
      <c r="D121" s="5" t="n">
        <f aca="false">D120*(1+'Raw Data'!D121/100)</f>
        <v>86.0932846827312</v>
      </c>
    </row>
    <row r="122" customFormat="false" ht="15" hidden="false" customHeight="false" outlineLevel="0" collapsed="false">
      <c r="A122" s="2" t="s">
        <v>125</v>
      </c>
      <c r="B122" s="3" t="n">
        <f aca="false">B121*(1+'Raw Data'!B122/100)</f>
        <v>118.521238165017</v>
      </c>
      <c r="C122" s="3" t="n">
        <f aca="false">C121*(1+'Raw Data'!C122/100)</f>
        <v>52.9673481127913</v>
      </c>
      <c r="D122" s="3" t="n">
        <f aca="false">D121*(1+'Raw Data'!D122/100)</f>
        <v>83.0800197188356</v>
      </c>
    </row>
    <row r="123" customFormat="false" ht="15" hidden="false" customHeight="false" outlineLevel="0" collapsed="false">
      <c r="A123" s="4" t="s">
        <v>126</v>
      </c>
      <c r="B123" s="5" t="n">
        <f aca="false">B122*(1+'Raw Data'!B123/100)</f>
        <v>120.441282223291</v>
      </c>
      <c r="C123" s="5" t="n">
        <f aca="false">C122*(1+'Raw Data'!C123/100)</f>
        <v>55.5468579658843</v>
      </c>
      <c r="D123" s="5" t="n">
        <f aca="false">D122*(1+'Raw Data'!D123/100)</f>
        <v>85.904740389276</v>
      </c>
    </row>
    <row r="124" customFormat="false" ht="15" hidden="false" customHeight="false" outlineLevel="0" collapsed="false">
      <c r="A124" s="2" t="s">
        <v>127</v>
      </c>
      <c r="B124" s="3" t="n">
        <f aca="false">B123*(1+'Raw Data'!B124/100)</f>
        <v>123.897947023099</v>
      </c>
      <c r="C124" s="3" t="n">
        <f aca="false">C123*(1+'Raw Data'!C124/100)</f>
        <v>60.2294580924083</v>
      </c>
      <c r="D124" s="3" t="n">
        <f aca="false">D123*(1+'Raw Data'!D124/100)</f>
        <v>91.0590248126326</v>
      </c>
    </row>
    <row r="125" customFormat="false" ht="15" hidden="false" customHeight="false" outlineLevel="0" collapsed="false">
      <c r="A125" s="4" t="s">
        <v>128</v>
      </c>
      <c r="B125" s="5" t="n">
        <f aca="false">B124*(1+'Raw Data'!B125/100)</f>
        <v>124.9758591622</v>
      </c>
      <c r="C125" s="5" t="n">
        <f aca="false">C124*(1+'Raw Data'!C125/100)</f>
        <v>61.6930339240538</v>
      </c>
      <c r="D125" s="5" t="n">
        <f aca="false">D124*(1+'Raw Data'!D125/100)</f>
        <v>92.6070282344474</v>
      </c>
    </row>
    <row r="126" customFormat="false" ht="15" hidden="false" customHeight="false" outlineLevel="0" collapsed="false">
      <c r="A126" s="2" t="s">
        <v>129</v>
      </c>
      <c r="B126" s="3" t="n">
        <f aca="false">B125*(1+'Raw Data'!B126/100)</f>
        <v>120.139293412623</v>
      </c>
      <c r="C126" s="3" t="n">
        <f aca="false">C125*(1+'Raw Data'!C126/100)</f>
        <v>54.6415201465345</v>
      </c>
      <c r="D126" s="3" t="n">
        <f aca="false">D125*(1+'Raw Data'!D126/100)</f>
        <v>85.1984659756916</v>
      </c>
    </row>
    <row r="127" customFormat="false" ht="15" hidden="false" customHeight="false" outlineLevel="0" collapsed="false">
      <c r="A127" s="4" t="s">
        <v>130</v>
      </c>
      <c r="B127" s="5" t="n">
        <f aca="false">B126*(1+'Raw Data'!B127/100)</f>
        <v>117.087755359942</v>
      </c>
      <c r="C127" s="5" t="n">
        <f aca="false">C126*(1+'Raw Data'!C127/100)</f>
        <v>50.3412325110022</v>
      </c>
      <c r="D127" s="5" t="n">
        <f aca="false">D126*(1+'Raw Data'!D127/100)</f>
        <v>80.6829472789799</v>
      </c>
    </row>
    <row r="128" customFormat="false" ht="15" hidden="false" customHeight="false" outlineLevel="0" collapsed="false">
      <c r="A128" s="2" t="s">
        <v>131</v>
      </c>
      <c r="B128" s="3" t="n">
        <f aca="false">B127*(1+'Raw Data'!B128/100)</f>
        <v>120.998486388964</v>
      </c>
      <c r="C128" s="3" t="n">
        <f aca="false">C127*(1+'Raw Data'!C128/100)</f>
        <v>55.3099121598381</v>
      </c>
      <c r="D128" s="3" t="n">
        <f aca="false">D127*(1+'Raw Data'!D128/100)</f>
        <v>86.3307535885085</v>
      </c>
    </row>
    <row r="129" customFormat="false" ht="15" hidden="false" customHeight="false" outlineLevel="0" collapsed="false">
      <c r="A129" s="4" t="s">
        <v>132</v>
      </c>
      <c r="B129" s="5" t="n">
        <f aca="false">B128*(1+'Raw Data'!B129/100)</f>
        <v>118.300220142491</v>
      </c>
      <c r="C129" s="5" t="n">
        <f aca="false">C128*(1+'Raw Data'!C129/100)</f>
        <v>51.7534848079605</v>
      </c>
      <c r="D129" s="5" t="n">
        <f aca="false">D128*(1+'Raw Data'!D129/100)</f>
        <v>82.3595389234371</v>
      </c>
    </row>
    <row r="130" customFormat="false" ht="15" hidden="false" customHeight="false" outlineLevel="0" collapsed="false">
      <c r="A130" s="2" t="s">
        <v>133</v>
      </c>
      <c r="B130" s="3" t="n">
        <f aca="false">B129*(1+'Raw Data'!B130/100)</f>
        <v>123.304319454518</v>
      </c>
      <c r="C130" s="3" t="n">
        <f aca="false">C129*(1+'Raw Data'!C130/100)</f>
        <v>58.4141583027451</v>
      </c>
      <c r="D130" s="3" t="n">
        <f aca="false">D129*(1+'Raw Data'!D130/100)</f>
        <v>89.9366165043934</v>
      </c>
    </row>
    <row r="131" customFormat="false" ht="15" hidden="false" customHeight="false" outlineLevel="0" collapsed="false">
      <c r="A131" s="4" t="s">
        <v>134</v>
      </c>
      <c r="B131" s="5" t="n">
        <f aca="false">B130*(1+'Raw Data'!B131/100)</f>
        <v>125.610110228317</v>
      </c>
      <c r="C131" s="5" t="n">
        <f aca="false">C130*(1+'Raw Data'!C131/100)</f>
        <v>61.4049632078456</v>
      </c>
      <c r="D131" s="5" t="n">
        <f aca="false">D130*(1+'Raw Data'!D131/100)</f>
        <v>93.3542079315603</v>
      </c>
    </row>
    <row r="132" customFormat="false" ht="15" hidden="false" customHeight="false" outlineLevel="0" collapsed="false">
      <c r="A132" s="2" t="s">
        <v>135</v>
      </c>
      <c r="B132" s="3" t="n">
        <f aca="false">B131*(1+'Raw Data'!B132/100)</f>
        <v>125.459378096043</v>
      </c>
      <c r="C132" s="3" t="n">
        <f aca="false">C131*(1+'Raw Data'!C132/100)</f>
        <v>61.2637317924676</v>
      </c>
      <c r="D132" s="3" t="n">
        <f aca="false">D131*(1+'Raw Data'!D132/100)</f>
        <v>93.1674995156972</v>
      </c>
    </row>
    <row r="133" customFormat="false" ht="15" hidden="false" customHeight="false" outlineLevel="0" collapsed="false">
      <c r="A133" s="4" t="s">
        <v>136</v>
      </c>
      <c r="B133" s="5" t="n">
        <f aca="false">B132*(1+'Raw Data'!B133/100)</f>
        <v>129.511716008546</v>
      </c>
      <c r="C133" s="5" t="n">
        <f aca="false">C132*(1+'Raw Data'!C133/100)</f>
        <v>67.0409017004973</v>
      </c>
      <c r="D133" s="5" t="n">
        <f aca="false">D132*(1+'Raw Data'!D133/100)</f>
        <v>99.5028894827646</v>
      </c>
    </row>
    <row r="134" customFormat="false" ht="15" hidden="false" customHeight="false" outlineLevel="0" collapsed="false">
      <c r="A134" s="2" t="s">
        <v>137</v>
      </c>
      <c r="B134" s="3" t="n">
        <f aca="false">B133*(1+'Raw Data'!B134/100)</f>
        <v>131.104710115451</v>
      </c>
      <c r="C134" s="3" t="n">
        <f aca="false">C133*(1+'Raw Data'!C134/100)</f>
        <v>69.3404046288243</v>
      </c>
      <c r="D134" s="3" t="n">
        <f aca="false">D133*(1+'Raw Data'!D134/100)</f>
        <v>101.890958830351</v>
      </c>
    </row>
    <row r="135" customFormat="false" ht="15" hidden="false" customHeight="false" outlineLevel="0" collapsed="false">
      <c r="A135" s="4" t="s">
        <v>138</v>
      </c>
      <c r="B135" s="5" t="n">
        <f aca="false">B134*(1+'Raw Data'!B135/100)</f>
        <v>133.372821600448</v>
      </c>
      <c r="C135" s="5" t="n">
        <f aca="false">C134*(1+'Raw Data'!C135/100)</f>
        <v>72.7172823342481</v>
      </c>
      <c r="D135" s="5" t="n">
        <f aca="false">D134*(1+'Raw Data'!D135/100)</f>
        <v>105.355251430583</v>
      </c>
    </row>
    <row r="136" customFormat="false" ht="15" hidden="false" customHeight="false" outlineLevel="0" collapsed="false">
      <c r="A136" s="2" t="s">
        <v>139</v>
      </c>
      <c r="B136" s="3" t="n">
        <f aca="false">B135*(1+'Raw Data'!B136/100)</f>
        <v>133.532868986369</v>
      </c>
      <c r="C136" s="3" t="n">
        <f aca="false">C135*(1+'Raw Data'!C136/100)</f>
        <v>72.8845320836168</v>
      </c>
      <c r="D136" s="3" t="n">
        <f aca="false">D135*(1+'Raw Data'!D136/100)</f>
        <v>105.355251430583</v>
      </c>
    </row>
    <row r="137" customFormat="false" ht="15" hidden="false" customHeight="false" outlineLevel="0" collapsed="false">
      <c r="A137" s="4" t="s">
        <v>140</v>
      </c>
      <c r="B137" s="5" t="n">
        <f aca="false">B136*(1+'Raw Data'!B137/100)</f>
        <v>135.442389012874</v>
      </c>
      <c r="C137" s="5" t="n">
        <f aca="false">C136*(1+'Raw Data'!C137/100)</f>
        <v>75.7051634752528</v>
      </c>
      <c r="D137" s="5" t="n">
        <f aca="false">D136*(1+'Raw Data'!D137/100)</f>
        <v>108.41055372207</v>
      </c>
    </row>
    <row r="138" customFormat="false" ht="15" hidden="false" customHeight="false" outlineLevel="0" collapsed="false">
      <c r="A138" s="2" t="s">
        <v>141</v>
      </c>
      <c r="B138" s="3" t="n">
        <f aca="false">B137*(1+'Raw Data'!B138/100)</f>
        <v>134.602646200994</v>
      </c>
      <c r="C138" s="3" t="n">
        <f aca="false">C137*(1+'Raw Data'!C138/100)</f>
        <v>74.2894769182656</v>
      </c>
      <c r="D138" s="3" t="n">
        <f aca="false">D137*(1+'Raw Data'!D138/100)</f>
        <v>106.892805969961</v>
      </c>
    </row>
    <row r="139" customFormat="false" ht="15" hidden="false" customHeight="false" outlineLevel="0" collapsed="false">
      <c r="A139" s="4" t="s">
        <v>142</v>
      </c>
      <c r="B139" s="5" t="n">
        <f aca="false">B138*(1+'Raw Data'!B139/100)</f>
        <v>133.431603179045</v>
      </c>
      <c r="C139" s="5" t="n">
        <f aca="false">C138*(1+'Raw Data'!C139/100)</f>
        <v>72.4842426291517</v>
      </c>
      <c r="D139" s="5" t="n">
        <f aca="false">D138*(1+'Raw Data'!D139/100)</f>
        <v>104.968735462502</v>
      </c>
    </row>
    <row r="140" customFormat="false" ht="15" hidden="false" customHeight="false" outlineLevel="0" collapsed="false">
      <c r="A140" s="2" t="s">
        <v>143</v>
      </c>
      <c r="B140" s="3" t="n">
        <f aca="false">B139*(1+'Raw Data'!B140/100)</f>
        <v>132.177346109162</v>
      </c>
      <c r="C140" s="3" t="n">
        <f aca="false">C139*(1+'Raw Data'!C140/100)</f>
        <v>70.4039448656951</v>
      </c>
      <c r="D140" s="3" t="n">
        <f aca="false">D139*(1+'Raw Data'!D140/100)</f>
        <v>102.659423282326</v>
      </c>
    </row>
    <row r="141" customFormat="false" ht="15" hidden="false" customHeight="false" outlineLevel="0" collapsed="false">
      <c r="A141" s="4" t="s">
        <v>144</v>
      </c>
      <c r="B141" s="5" t="n">
        <f aca="false">B140*(1+'Raw Data'!B141/100)</f>
        <v>128.648210968048</v>
      </c>
      <c r="C141" s="5" t="n">
        <f aca="false">C140*(1+'Raw Data'!C141/100)</f>
        <v>64.6871445426006</v>
      </c>
      <c r="D141" s="5" t="n">
        <f aca="false">D140*(1+'Raw Data'!D141/100)</f>
        <v>96.6025173086692</v>
      </c>
    </row>
    <row r="142" customFormat="false" ht="15" hidden="false" customHeight="false" outlineLevel="0" collapsed="false">
      <c r="A142" s="2" t="s">
        <v>145</v>
      </c>
      <c r="B142" s="3" t="n">
        <f aca="false">B141*(1+'Raw Data'!B142/100)</f>
        <v>124.49287375378</v>
      </c>
      <c r="C142" s="3" t="n">
        <f aca="false">C141*(1+'Raw Data'!C142/100)</f>
        <v>58.0696496558926</v>
      </c>
      <c r="D142" s="3" t="n">
        <f aca="false">D141*(1+'Raw Data'!D142/100)</f>
        <v>89.5505335451364</v>
      </c>
    </row>
    <row r="143" customFormat="false" ht="15" hidden="false" customHeight="false" outlineLevel="0" collapsed="false">
      <c r="A143" s="4" t="s">
        <v>146</v>
      </c>
      <c r="B143" s="5" t="n">
        <f aca="false">B142*(1+'Raw Data'!B143/100)</f>
        <v>130.866908889973</v>
      </c>
      <c r="C143" s="5" t="n">
        <f aca="false">C142*(1+'Raw Data'!C143/100)</f>
        <v>67.0297965977968</v>
      </c>
      <c r="D143" s="5" t="n">
        <f aca="false">D142*(1+'Raw Data'!D143/100)</f>
        <v>99.4010922351014</v>
      </c>
    </row>
    <row r="144" customFormat="false" ht="15" hidden="false" customHeight="false" outlineLevel="0" collapsed="false">
      <c r="A144" s="2" t="s">
        <v>147</v>
      </c>
      <c r="B144" s="3" t="n">
        <f aca="false">B143*(1+'Raw Data'!B144/100)</f>
        <v>130.565914999526</v>
      </c>
      <c r="C144" s="3" t="n">
        <f aca="false">C143*(1+'Raw Data'!C144/100)</f>
        <v>66.6142118588905</v>
      </c>
      <c r="D144" s="3" t="n">
        <f aca="false">D143*(1+'Raw Data'!D144/100)</f>
        <v>98.9040867739259</v>
      </c>
    </row>
    <row r="145" customFormat="false" ht="15" hidden="false" customHeight="false" outlineLevel="0" collapsed="false">
      <c r="A145" s="4" t="s">
        <v>148</v>
      </c>
      <c r="B145" s="5" t="n">
        <f aca="false">B144*(1+'Raw Data'!B145/100)</f>
        <v>131.270970940524</v>
      </c>
      <c r="C145" s="5" t="n">
        <f aca="false">C144*(1+'Raw Data'!C145/100)</f>
        <v>67.5667950884726</v>
      </c>
      <c r="D145" s="5" t="n">
        <f aca="false">D144*(1+'Raw Data'!D145/100)</f>
        <v>99.8931276416651</v>
      </c>
    </row>
    <row r="146" customFormat="false" ht="15" hidden="false" customHeight="false" outlineLevel="0" collapsed="false">
      <c r="A146" s="2" t="s">
        <v>149</v>
      </c>
      <c r="B146" s="3" t="n">
        <f aca="false">B145*(1+'Raw Data'!B146/100)</f>
        <v>134.460855534378</v>
      </c>
      <c r="C146" s="3" t="n">
        <f aca="false">C145*(1+'Raw Data'!C146/100)</f>
        <v>72.3775508987718</v>
      </c>
      <c r="D146" s="3" t="n">
        <f aca="false">D145*(1+'Raw Data'!D146/100)</f>
        <v>105.087570279032</v>
      </c>
    </row>
    <row r="147" customFormat="false" ht="15" hidden="false" customHeight="false" outlineLevel="0" collapsed="false">
      <c r="A147" s="4" t="s">
        <v>150</v>
      </c>
      <c r="B147" s="5" t="n">
        <f aca="false">B146*(1+'Raw Data'!B147/100)</f>
        <v>137.311425671707</v>
      </c>
      <c r="C147" s="5" t="n">
        <f aca="false">C146*(1+'Raw Data'!C147/100)</f>
        <v>76.8070570137767</v>
      </c>
      <c r="D147" s="5" t="n">
        <f aca="false">D146*(1+'Raw Data'!D147/100)</f>
        <v>109.711423371309</v>
      </c>
    </row>
    <row r="148" customFormat="false" ht="15" hidden="false" customHeight="false" outlineLevel="0" collapsed="false">
      <c r="A148" s="2" t="s">
        <v>151</v>
      </c>
      <c r="B148" s="3" t="n">
        <f aca="false">B147*(1+'Raw Data'!B148/100)</f>
        <v>139.535870767589</v>
      </c>
      <c r="C148" s="3" t="n">
        <f aca="false">C147*(1+'Raw Data'!C148/100)</f>
        <v>80.209609639487</v>
      </c>
      <c r="D148" s="3" t="n">
        <f aca="false">D147*(1+'Raw Data'!D148/100)</f>
        <v>113.222188919191</v>
      </c>
    </row>
    <row r="149" customFormat="false" ht="15" hidden="false" customHeight="false" outlineLevel="0" collapsed="false">
      <c r="A149" s="4" t="s">
        <v>152</v>
      </c>
      <c r="B149" s="5" t="n">
        <f aca="false">B148*(1+'Raw Data'!B149/100)</f>
        <v>138.935866523288</v>
      </c>
      <c r="C149" s="5" t="n">
        <f aca="false">C148*(1+'Raw Data'!C149/100)</f>
        <v>79.3112620115247</v>
      </c>
      <c r="D149" s="5" t="n">
        <f aca="false">D148*(1+'Raw Data'!D149/100)</f>
        <v>112.316411407837</v>
      </c>
    </row>
    <row r="150" customFormat="false" ht="15" hidden="false" customHeight="false" outlineLevel="0" collapsed="false">
      <c r="A150" s="2" t="s">
        <v>153</v>
      </c>
      <c r="B150" s="3" t="n">
        <f aca="false">B149*(1+'Raw Data'!B150/100)</f>
        <v>134.601067487762</v>
      </c>
      <c r="C150" s="3" t="n">
        <f aca="false">C149*(1+'Raw Data'!C150/100)</f>
        <v>72.2763530711025</v>
      </c>
      <c r="D150" s="3" t="n">
        <f aca="false">D149*(1+'Raw Data'!D150/100)</f>
        <v>105.352793900552</v>
      </c>
    </row>
    <row r="151" customFormat="false" ht="15" hidden="false" customHeight="false" outlineLevel="0" collapsed="false">
      <c r="A151" s="4" t="s">
        <v>154</v>
      </c>
      <c r="B151" s="5" t="n">
        <f aca="false">B150*(1+'Raw Data'!B151/100)</f>
        <v>137.454610118502</v>
      </c>
      <c r="C151" s="5" t="n">
        <f aca="false">C150*(1+'Raw Data'!C151/100)</f>
        <v>76.5189749963762</v>
      </c>
      <c r="D151" s="5" t="n">
        <f aca="false">D150*(1+'Raw Data'!D151/100)</f>
        <v>109.672258450474</v>
      </c>
    </row>
    <row r="152" customFormat="false" ht="15" hidden="false" customHeight="false" outlineLevel="0" collapsed="false">
      <c r="A152" s="2" t="s">
        <v>155</v>
      </c>
      <c r="B152" s="3" t="n">
        <f aca="false">B151*(1+'Raw Data'!B152/100)</f>
        <v>138.458028772367</v>
      </c>
      <c r="C152" s="3" t="n">
        <f aca="false">C151*(1+'Raw Data'!C152/100)</f>
        <v>77.9498798288084</v>
      </c>
      <c r="D152" s="3" t="n">
        <f aca="false">D151*(1+'Raw Data'!D152/100)</f>
        <v>111.207670068781</v>
      </c>
    </row>
    <row r="153" customFormat="false" ht="15" hidden="false" customHeight="false" outlineLevel="0" collapsed="false">
      <c r="A153" s="4" t="s">
        <v>156</v>
      </c>
      <c r="B153" s="5" t="n">
        <f aca="false">B152*(1+'Raw Data'!B153/100)</f>
        <v>140.161062526267</v>
      </c>
      <c r="C153" s="5" t="n">
        <f aca="false">C152*(1+'Raw Data'!C153/100)</f>
        <v>80.3819160794673</v>
      </c>
      <c r="D153" s="5" t="n">
        <f aca="false">D152*(1+'Raw Data'!D153/100)</f>
        <v>113.765446480363</v>
      </c>
    </row>
    <row r="154" customFormat="false" ht="15" hidden="false" customHeight="false" outlineLevel="0" collapsed="false">
      <c r="A154" s="2" t="s">
        <v>157</v>
      </c>
      <c r="B154" s="3" t="n">
        <f aca="false">B153*(1+'Raw Data'!B154/100)</f>
        <v>141.885043595341</v>
      </c>
      <c r="C154" s="3" t="n">
        <f aca="false">C153*(1+'Raw Data'!C154/100)</f>
        <v>83.139015800993</v>
      </c>
      <c r="D154" s="3" t="n">
        <f aca="false">D153*(1+'Raw Data'!D154/100)</f>
        <v>116.495817195891</v>
      </c>
    </row>
    <row r="155" customFormat="false" ht="15" hidden="false" customHeight="false" outlineLevel="0" collapsed="false">
      <c r="A155" s="4" t="s">
        <v>158</v>
      </c>
      <c r="B155" s="5" t="n">
        <f aca="false">B154*(1+'Raw Data'!B155/100)</f>
        <v>140.437816150668</v>
      </c>
      <c r="C155" s="5" t="n">
        <f aca="false">C154*(1+'Raw Data'!C155/100)</f>
        <v>80.9192040791065</v>
      </c>
      <c r="D155" s="5" t="n">
        <f aca="false">D154*(1+'Raw Data'!D155/100)</f>
        <v>114.165900851974</v>
      </c>
    </row>
    <row r="156" customFormat="false" ht="15" hidden="false" customHeight="false" outlineLevel="0" collapsed="false">
      <c r="A156" s="2" t="s">
        <v>159</v>
      </c>
      <c r="B156" s="3" t="n">
        <f aca="false">B155*(1+'Raw Data'!B156/100)</f>
        <v>140.91530472558</v>
      </c>
      <c r="C156" s="3" t="n">
        <f aca="false">C155*(1+'Raw Data'!C156/100)</f>
        <v>81.6232011545947</v>
      </c>
      <c r="D156" s="3" t="n">
        <f aca="false">D155*(1+'Raw Data'!D156/100)</f>
        <v>114.850896257085</v>
      </c>
    </row>
    <row r="157" customFormat="false" ht="15" hidden="false" customHeight="false" outlineLevel="0" collapsed="false">
      <c r="A157" s="4" t="s">
        <v>160</v>
      </c>
      <c r="B157" s="5" t="n">
        <f aca="false">B156*(1+'Raw Data'!B157/100)</f>
        <v>141.676247371098</v>
      </c>
      <c r="C157" s="5" t="n">
        <f aca="false">C156*(1+'Raw Data'!C157/100)</f>
        <v>82.6271665287962</v>
      </c>
      <c r="D157" s="5" t="n">
        <f aca="false">D156*(1+'Raw Data'!D157/100)</f>
        <v>115.884554323399</v>
      </c>
    </row>
    <row r="158" customFormat="false" ht="15" hidden="false" customHeight="false" outlineLevel="0" collapsed="false">
      <c r="A158" s="2" t="s">
        <v>161</v>
      </c>
      <c r="B158" s="3" t="n">
        <f aca="false">B157*(1+'Raw Data'!B158/100)</f>
        <v>145.459003175907</v>
      </c>
      <c r="C158" s="3" t="n">
        <f aca="false">C157*(1+'Raw Data'!C158/100)</f>
        <v>88.7663650018858</v>
      </c>
      <c r="D158" s="3" t="n">
        <f aca="false">D157*(1+'Raw Data'!D158/100)</f>
        <v>122.258204811186</v>
      </c>
    </row>
    <row r="159" customFormat="false" ht="15" hidden="false" customHeight="false" outlineLevel="0" collapsed="false">
      <c r="A159" s="4" t="s">
        <v>162</v>
      </c>
      <c r="B159" s="5" t="n">
        <f aca="false">B158*(1+'Raw Data'!B159/100)</f>
        <v>146.520853899091</v>
      </c>
      <c r="C159" s="5" t="n">
        <f aca="false">C158*(1+'Raw Data'!C159/100)</f>
        <v>90.426296027421</v>
      </c>
      <c r="D159" s="5" t="n">
        <f aca="false">D158*(1+'Raw Data'!D159/100)</f>
        <v>123.969819678543</v>
      </c>
    </row>
    <row r="160" customFormat="false" ht="15" hidden="false" customHeight="false" outlineLevel="0" collapsed="false">
      <c r="A160" s="2" t="s">
        <v>163</v>
      </c>
      <c r="B160" s="3" t="n">
        <f aca="false">B159*(1+'Raw Data'!B160/100)</f>
        <v>149.260793867004</v>
      </c>
      <c r="C160" s="3" t="n">
        <f aca="false">C159*(1+'Raw Data'!C160/100)</f>
        <v>95.056122384025</v>
      </c>
      <c r="D160" s="3" t="n">
        <f aca="false">D159*(1+'Raw Data'!D160/100)</f>
        <v>128.680672826327</v>
      </c>
    </row>
    <row r="161" customFormat="false" ht="15" hidden="false" customHeight="false" outlineLevel="0" collapsed="false">
      <c r="A161" s="4" t="s">
        <v>164</v>
      </c>
      <c r="B161" s="5" t="n">
        <f aca="false">B160*(1+'Raw Data'!B161/100)</f>
        <v>150.783253964447</v>
      </c>
      <c r="C161" s="5" t="n">
        <f aca="false">C160*(1+'Raw Data'!C161/100)</f>
        <v>97.3659861579568</v>
      </c>
      <c r="D161" s="5" t="n">
        <f aca="false">D160*(1+'Raw Data'!D161/100)</f>
        <v>131.125605610028</v>
      </c>
    </row>
    <row r="162" customFormat="false" ht="15" hidden="false" customHeight="false" outlineLevel="0" collapsed="false">
      <c r="A162" s="2" t="s">
        <v>165</v>
      </c>
      <c r="B162" s="3" t="n">
        <f aca="false">B161*(1+'Raw Data'!B162/100)</f>
        <v>152.63788798821</v>
      </c>
      <c r="C162" s="3" t="n">
        <f aca="false">C161*(1+'Raw Data'!C162/100)</f>
        <v>100.403804926085</v>
      </c>
      <c r="D162" s="3" t="n">
        <f aca="false">D161*(1+'Raw Data'!D162/100)</f>
        <v>134.141494539058</v>
      </c>
    </row>
    <row r="163" customFormat="false" ht="15" hidden="false" customHeight="false" outlineLevel="0" collapsed="false">
      <c r="A163" s="4" t="s">
        <v>166</v>
      </c>
      <c r="B163" s="5" t="n">
        <f aca="false">B162*(1+'Raw Data'!B163/100)</f>
        <v>151.4778400395</v>
      </c>
      <c r="C163" s="5" t="n">
        <f aca="false">C162*(1+'Raw Data'!C163/100)</f>
        <v>98.275244261652</v>
      </c>
      <c r="D163" s="5" t="n">
        <f aca="false">D162*(1+'Raw Data'!D163/100)</f>
        <v>132.129372120972</v>
      </c>
    </row>
    <row r="164" customFormat="false" ht="15" hidden="false" customHeight="false" outlineLevel="0" collapsed="false">
      <c r="A164" s="2" t="s">
        <v>167</v>
      </c>
      <c r="B164" s="3" t="n">
        <f aca="false">B163*(1+'Raw Data'!B164/100)</f>
        <v>155.325377176503</v>
      </c>
      <c r="C164" s="3" t="n">
        <f aca="false">C163*(1+'Raw Data'!C164/100)</f>
        <v>105.272441653082</v>
      </c>
      <c r="D164" s="3" t="n">
        <f aca="false">D163*(1+'Raw Data'!D164/100)</f>
        <v>139.132228843384</v>
      </c>
    </row>
    <row r="165" customFormat="false" ht="15" hidden="false" customHeight="false" outlineLevel="0" collapsed="false">
      <c r="A165" s="4" t="s">
        <v>168</v>
      </c>
      <c r="B165" s="5" t="n">
        <f aca="false">B164*(1+'Raw Data'!B165/100)</f>
        <v>152.933366367985</v>
      </c>
      <c r="C165" s="5" t="n">
        <f aca="false">C164*(1+'Raw Data'!C165/100)</f>
        <v>100.935217056975</v>
      </c>
      <c r="D165" s="5" t="n">
        <f aca="false">D164*(1+'Raw Data'!D165/100)</f>
        <v>134.819129749239</v>
      </c>
    </row>
    <row r="166" customFormat="false" ht="15" hidden="false" customHeight="false" outlineLevel="0" collapsed="false">
      <c r="A166" s="2" t="s">
        <v>169</v>
      </c>
      <c r="B166" s="3" t="n">
        <f aca="false">B165*(1+'Raw Data'!B166/100)</f>
        <v>155.410886903146</v>
      </c>
      <c r="C166" s="3" t="n">
        <f aca="false">C165*(1+'Raw Data'!C166/100)</f>
        <v>105.406647172599</v>
      </c>
      <c r="D166" s="3" t="n">
        <f aca="false">D165*(1+'Raw Data'!D166/100)</f>
        <v>138.998522771465</v>
      </c>
    </row>
    <row r="167" customFormat="false" ht="15" hidden="false" customHeight="false" outlineLevel="0" collapsed="false">
      <c r="A167" s="4" t="s">
        <v>170</v>
      </c>
      <c r="B167" s="5" t="n">
        <f aca="false">B166*(1+'Raw Data'!B167/100)</f>
        <v>159.04750165668</v>
      </c>
      <c r="C167" s="5" t="n">
        <f aca="false">C166*(1+'Raw Data'!C167/100)</f>
        <v>112.184294585797</v>
      </c>
      <c r="D167" s="5" t="n">
        <f aca="false">D166*(1+'Raw Data'!D167/100)</f>
        <v>145.392454818953</v>
      </c>
    </row>
    <row r="168" customFormat="false" ht="15" hidden="false" customHeight="false" outlineLevel="0" collapsed="false">
      <c r="A168" s="2" t="s">
        <v>171</v>
      </c>
      <c r="B168" s="3" t="n">
        <f aca="false">B167*(1+'Raw Data'!B168/100)</f>
        <v>161.496833182193</v>
      </c>
      <c r="C168" s="3" t="n">
        <f aca="false">C167*(1+'Raw Data'!C168/100)</f>
        <v>116.806287522732</v>
      </c>
      <c r="D168" s="3" t="n">
        <f aca="false">D167*(1+'Raw Data'!D168/100)</f>
        <v>149.754228463521</v>
      </c>
    </row>
    <row r="169" customFormat="false" ht="15" hidden="false" customHeight="false" outlineLevel="0" collapsed="false">
      <c r="A169" s="4" t="s">
        <v>172</v>
      </c>
      <c r="B169" s="5" t="n">
        <f aca="false">B168*(1+'Raw Data'!B169/100)</f>
        <v>163.660890746834</v>
      </c>
      <c r="C169" s="5" t="n">
        <f aca="false">C168*(1+'Raw Data'!C169/100)</f>
        <v>120.941230101036</v>
      </c>
      <c r="D169" s="5" t="n">
        <f aca="false">D168*(1+'Raw Data'!D169/100)</f>
        <v>153.647838403573</v>
      </c>
    </row>
    <row r="170" customFormat="false" ht="15" hidden="false" customHeight="false" outlineLevel="0" collapsed="false">
      <c r="A170" s="2" t="s">
        <v>173</v>
      </c>
      <c r="B170" s="3" t="n">
        <f aca="false">B169*(1+'Raw Data'!B170/100)</f>
        <v>160.829557336914</v>
      </c>
      <c r="C170" s="3" t="n">
        <f aca="false">C169*(1+'Raw Data'!C170/100)</f>
        <v>115.051392195116</v>
      </c>
      <c r="D170" s="3" t="n">
        <f aca="false">D169*(1+'Raw Data'!D170/100)</f>
        <v>148.116516221044</v>
      </c>
    </row>
    <row r="171" customFormat="false" ht="15" hidden="false" customHeight="false" outlineLevel="0" collapsed="false">
      <c r="A171" s="4" t="s">
        <v>174</v>
      </c>
      <c r="B171" s="5" t="n">
        <f aca="false">B170*(1+'Raw Data'!B171/100)</f>
        <v>164.592968978598</v>
      </c>
      <c r="C171" s="5" t="n">
        <f aca="false">C170*(1+'Raw Data'!C171/100)</f>
        <v>122.449196713262</v>
      </c>
      <c r="D171" s="5" t="n">
        <f aca="false">D170*(1+'Raw Data'!D171/100)</f>
        <v>155.077992483433</v>
      </c>
    </row>
    <row r="172" customFormat="false" ht="15" hidden="false" customHeight="false" outlineLevel="0" collapsed="false">
      <c r="A172" s="2" t="s">
        <v>175</v>
      </c>
      <c r="B172" s="3" t="n">
        <f aca="false">B171*(1+'Raw Data'!B172/100)</f>
        <v>165.300718745206</v>
      </c>
      <c r="C172" s="3" t="n">
        <f aca="false">C171*(1+'Raw Data'!C172/100)</f>
        <v>123.600219162366</v>
      </c>
      <c r="D172" s="3" t="n">
        <f aca="false">D171*(1+'Raw Data'!D172/100)</f>
        <v>156.163538430817</v>
      </c>
    </row>
    <row r="173" customFormat="false" ht="15" hidden="false" customHeight="false" outlineLevel="0" collapsed="false">
      <c r="A173" s="4" t="s">
        <v>176</v>
      </c>
      <c r="B173" s="5" t="n">
        <f aca="false">B172*(1+'Raw Data'!B173/100)</f>
        <v>166.01151183581</v>
      </c>
      <c r="C173" s="5" t="n">
        <f aca="false">C172*(1+'Raw Data'!C173/100)</f>
        <v>124.762061222493</v>
      </c>
      <c r="D173" s="5" t="n">
        <f aca="false">D172*(1+'Raw Data'!D173/100)</f>
        <v>157.256683199833</v>
      </c>
    </row>
    <row r="174" customFormat="false" ht="15" hidden="false" customHeight="false" outlineLevel="0" collapsed="false">
      <c r="A174" s="2" t="s">
        <v>177</v>
      </c>
      <c r="B174" s="3" t="n">
        <f aca="false">B173*(1+'Raw Data'!B174/100)</f>
        <v>167.870840768371</v>
      </c>
      <c r="C174" s="3" t="n">
        <f aca="false">C173*(1+'Raw Data'!C174/100)</f>
        <v>128.342732379578</v>
      </c>
      <c r="D174" s="3" t="n">
        <f aca="false">D173*(1+'Raw Data'!D174/100)</f>
        <v>160.55907354703</v>
      </c>
    </row>
    <row r="175" customFormat="false" ht="15" hidden="false" customHeight="false" outlineLevel="0" collapsed="false">
      <c r="A175" s="4" t="s">
        <v>178</v>
      </c>
      <c r="B175" s="5" t="n">
        <f aca="false">B174*(1+'Raw Data'!B175/100)</f>
        <v>169.750994184977</v>
      </c>
      <c r="C175" s="5" t="n">
        <f aca="false">C174*(1+'Raw Data'!C175/100)</f>
        <v>132.026168798872</v>
      </c>
      <c r="D175" s="5" t="n">
        <f aca="false">D174*(1+'Raw Data'!D175/100)</f>
        <v>163.930814091517</v>
      </c>
    </row>
    <row r="176" customFormat="false" ht="15" hidden="false" customHeight="false" outlineLevel="0" collapsed="false">
      <c r="A176" s="2" t="s">
        <v>179</v>
      </c>
      <c r="B176" s="3" t="n">
        <f aca="false">B175*(1+'Raw Data'!B176/100)</f>
        <v>168.01953404429</v>
      </c>
      <c r="C176" s="3" t="n">
        <f aca="false">C175*(1+'Raw Data'!C176/100)</f>
        <v>128.501070091942</v>
      </c>
      <c r="D176" s="3" t="n">
        <f aca="false">D175*(1+'Raw Data'!D176/100)</f>
        <v>160.652197809687</v>
      </c>
    </row>
    <row r="177" customFormat="false" ht="15" hidden="false" customHeight="false" outlineLevel="0" collapsed="false">
      <c r="A177" s="4" t="s">
        <v>180</v>
      </c>
      <c r="B177" s="5" t="n">
        <f aca="false">B176*(1+'Raw Data'!B177/100)</f>
        <v>171.581548166029</v>
      </c>
      <c r="C177" s="5" t="n">
        <f aca="false">C176*(1+'Raw Data'!C177/100)</f>
        <v>135.478678197935</v>
      </c>
      <c r="D177" s="5" t="n">
        <f aca="false">D176*(1+'Raw Data'!D177/100)</f>
        <v>167.078285722074</v>
      </c>
    </row>
    <row r="178" customFormat="false" ht="15" hidden="false" customHeight="false" outlineLevel="0" collapsed="false">
      <c r="A178" s="2" t="s">
        <v>181</v>
      </c>
      <c r="B178" s="3" t="n">
        <f aca="false">B177*(1+'Raw Data'!B178/100)</f>
        <v>170.088788696985</v>
      </c>
      <c r="C178" s="3" t="n">
        <f aca="false">C177*(1+'Raw Data'!C178/100)</f>
        <v>132.606530220139</v>
      </c>
      <c r="D178" s="3" t="n">
        <f aca="false">D177*(1+'Raw Data'!D178/100)</f>
        <v>164.405033150521</v>
      </c>
    </row>
    <row r="179" customFormat="false" ht="15" hidden="false" customHeight="false" outlineLevel="0" collapsed="false">
      <c r="A179" s="4" t="s">
        <v>182</v>
      </c>
      <c r="B179" s="5" t="n">
        <f aca="false">B178*(1+'Raw Data'!B179/100)</f>
        <v>172.367978465524</v>
      </c>
      <c r="C179" s="5" t="n">
        <f aca="false">C178*(1+'Raw Data'!C179/100)</f>
        <v>136.743853963007</v>
      </c>
      <c r="D179" s="5" t="n">
        <f aca="false">D178*(1+'Raw Data'!D179/100)</f>
        <v>168.350753946134</v>
      </c>
    </row>
    <row r="180" customFormat="false" ht="15" hidden="false" customHeight="false" outlineLevel="0" collapsed="false">
      <c r="A180" s="2" t="s">
        <v>183</v>
      </c>
      <c r="B180" s="3" t="n">
        <f aca="false">B179*(1+'Raw Data'!B180/100)</f>
        <v>174.832840557581</v>
      </c>
      <c r="C180" s="3" t="n">
        <f aca="false">C179*(1+'Raw Data'!C180/100)</f>
        <v>141.584586393297</v>
      </c>
      <c r="D180" s="3" t="n">
        <f aca="false">D179*(1+'Raw Data'!D180/100)</f>
        <v>172.896224302679</v>
      </c>
    </row>
    <row r="181" customFormat="false" ht="15" hidden="false" customHeight="false" outlineLevel="0" collapsed="false">
      <c r="A181" s="4" t="s">
        <v>184</v>
      </c>
      <c r="B181" s="5" t="n">
        <f aca="false">B180*(1+'Raw Data'!B181/100)</f>
        <v>174.430725024299</v>
      </c>
      <c r="C181" s="5" t="n">
        <f aca="false">C180*(1+'Raw Data'!C181/100)</f>
        <v>140.820029626773</v>
      </c>
      <c r="D181" s="5" t="n">
        <f aca="false">D180*(1+'Raw Data'!D181/100)</f>
        <v>172.204639405469</v>
      </c>
    </row>
    <row r="182" customFormat="false" ht="15" hidden="false" customHeight="false" outlineLevel="0" collapsed="false">
      <c r="A182" s="2" t="s">
        <v>185</v>
      </c>
      <c r="B182" s="3" t="n">
        <f aca="false">B181*(1+'Raw Data'!B182/100)</f>
        <v>171.936365656451</v>
      </c>
      <c r="C182" s="3" t="n">
        <f aca="false">C181*(1+'Raw Data'!C182/100)</f>
        <v>135.370294480217</v>
      </c>
      <c r="D182" s="3" t="n">
        <f aca="false">D181*(1+'Raw Data'!D182/100)</f>
        <v>167.21070486271</v>
      </c>
    </row>
    <row r="183" customFormat="false" ht="15" hidden="false" customHeight="false" outlineLevel="0" collapsed="false">
      <c r="A183" s="4" t="s">
        <v>186</v>
      </c>
      <c r="B183" s="5" t="n">
        <f aca="false">B182*(1+'Raw Data'!B183/100)</f>
        <v>176.870939350791</v>
      </c>
      <c r="C183" s="5" t="n">
        <f aca="false">C182*(1+'Raw Data'!C183/100)</f>
        <v>146.02393665581</v>
      </c>
      <c r="D183" s="5" t="n">
        <f aca="false">D182*(1+'Raw Data'!D183/100)</f>
        <v>177.07613644961</v>
      </c>
    </row>
    <row r="184" customFormat="false" ht="15" hidden="false" customHeight="false" outlineLevel="0" collapsed="false">
      <c r="A184" s="2" t="s">
        <v>187</v>
      </c>
      <c r="B184" s="3" t="n">
        <f aca="false">B183*(1+'Raw Data'!B184/100)</f>
        <v>175.526720211725</v>
      </c>
      <c r="C184" s="3" t="n">
        <f aca="false">C183*(1+'Raw Data'!C184/100)</f>
        <v>142.928229198707</v>
      </c>
      <c r="D184" s="3" t="n">
        <f aca="false">D183*(1+'Raw Data'!D184/100)</f>
        <v>174.242918266416</v>
      </c>
    </row>
    <row r="185" customFormat="false" ht="15" hidden="false" customHeight="false" outlineLevel="0" collapsed="false">
      <c r="A185" s="4" t="s">
        <v>188</v>
      </c>
      <c r="B185" s="5" t="n">
        <f aca="false">B184*(1+'Raw Data'!B185/100)</f>
        <v>176.474564500869</v>
      </c>
      <c r="C185" s="5" t="n">
        <f aca="false">C184*(1+'Raw Data'!C185/100)</f>
        <v>144.686246417851</v>
      </c>
      <c r="D185" s="5" t="n">
        <f aca="false">D184*(1+'Raw Data'!D185/100)</f>
        <v>175.811104530814</v>
      </c>
    </row>
    <row r="186" customFormat="false" ht="15" hidden="false" customHeight="false" outlineLevel="0" collapsed="false">
      <c r="A186" s="2" t="s">
        <v>189</v>
      </c>
      <c r="B186" s="3" t="n">
        <f aca="false">B185*(1+'Raw Data'!B186/100)</f>
        <v>177.568706800774</v>
      </c>
      <c r="C186" s="3" t="n">
        <f aca="false">C185*(1+'Raw Data'!C186/100)</f>
        <v>147.18931848088</v>
      </c>
      <c r="D186" s="3" t="n">
        <f aca="false">D185*(1+'Raw Data'!D186/100)</f>
        <v>178.096648889714</v>
      </c>
    </row>
    <row r="187" customFormat="false" ht="15" hidden="false" customHeight="false" outlineLevel="0" collapsed="false">
      <c r="A187" s="4" t="s">
        <v>190</v>
      </c>
      <c r="B187" s="5" t="n">
        <f aca="false">B186*(1+'Raw Data'!B187/100)</f>
        <v>175.757505991406</v>
      </c>
      <c r="C187" s="5" t="n">
        <f aca="false">C186*(1+'Raw Data'!C187/100)</f>
        <v>142.964985040479</v>
      </c>
      <c r="D187" s="5" t="n">
        <f aca="false">D186*(1+'Raw Data'!D187/100)</f>
        <v>174.35661926303</v>
      </c>
    </row>
    <row r="188" customFormat="false" ht="15" hidden="false" customHeight="false" outlineLevel="0" collapsed="false">
      <c r="A188" s="2" t="s">
        <v>191</v>
      </c>
      <c r="B188" s="3" t="n">
        <f aca="false">B187*(1+'Raw Data'!B188/100)</f>
        <v>177.72599005851</v>
      </c>
      <c r="C188" s="3" t="n">
        <f aca="false">C187*(1+'Raw Data'!C188/100)</f>
        <v>147.068080111141</v>
      </c>
      <c r="D188" s="3" t="n">
        <f aca="false">D187*(1+'Raw Data'!D188/100)</f>
        <v>178.192464886817</v>
      </c>
    </row>
    <row r="189" customFormat="false" ht="15" hidden="false" customHeight="false" outlineLevel="0" collapsed="false">
      <c r="A189" s="4" t="s">
        <v>192</v>
      </c>
      <c r="B189" s="5" t="n">
        <f aca="false">B188*(1+'Raw Data'!B189/100)</f>
        <v>172.180939168684</v>
      </c>
      <c r="C189" s="5" t="n">
        <f aca="false">C188*(1+'Raw Data'!C189/100)</f>
        <v>134.670240957771</v>
      </c>
      <c r="D189" s="5" t="n">
        <f aca="false">D188*(1+'Raw Data'!D189/100)</f>
        <v>166.966339598948</v>
      </c>
    </row>
    <row r="190" customFormat="false" ht="15" hidden="false" customHeight="false" outlineLevel="0" collapsed="false">
      <c r="A190" s="2" t="s">
        <v>193</v>
      </c>
      <c r="B190" s="3" t="n">
        <f aca="false">B189*(1+'Raw Data'!B190/100)</f>
        <v>169.873714583824</v>
      </c>
      <c r="C190" s="3" t="n">
        <f aca="false">C189*(1+'Raw Data'!C190/100)</f>
        <v>129.902914427866</v>
      </c>
      <c r="D190" s="3" t="n">
        <f aca="false">D189*(1+'Raw Data'!D190/100)</f>
        <v>162.458248429776</v>
      </c>
    </row>
    <row r="191" customFormat="false" ht="15" hidden="false" customHeight="false" outlineLevel="0" collapsed="false">
      <c r="A191" s="4" t="s">
        <v>194</v>
      </c>
      <c r="B191" s="5" t="n">
        <f aca="false">B190*(1+'Raw Data'!B191/100)</f>
        <v>176.872511624678</v>
      </c>
      <c r="C191" s="5" t="n">
        <f aca="false">C190*(1+'Raw Data'!C191/100)</f>
        <v>144.491011718116</v>
      </c>
      <c r="D191" s="5" t="n">
        <f aca="false">D190*(1+'Raw Data'!D191/100)</f>
        <v>176.104741297877</v>
      </c>
    </row>
    <row r="192" customFormat="false" ht="15" hidden="false" customHeight="false" outlineLevel="0" collapsed="false">
      <c r="A192" s="2" t="s">
        <v>195</v>
      </c>
      <c r="B192" s="3" t="n">
        <f aca="false">B191*(1+'Raw Data'!B192/100)</f>
        <v>177.279318401414</v>
      </c>
      <c r="C192" s="3" t="n">
        <f aca="false">C191*(1+'Raw Data'!C192/100)</f>
        <v>145.112323068504</v>
      </c>
      <c r="D192" s="3" t="n">
        <f aca="false">D191*(1+'Raw Data'!D192/100)</f>
        <v>176.633055521771</v>
      </c>
    </row>
    <row r="193" customFormat="false" ht="15" hidden="false" customHeight="false" outlineLevel="0" collapsed="false">
      <c r="A193" s="4" t="s">
        <v>196</v>
      </c>
      <c r="B193" s="5" t="n">
        <f aca="false">B192*(1+'Raw Data'!B193/100)</f>
        <v>175.736988331322</v>
      </c>
      <c r="C193" s="5" t="n">
        <f aca="false">C192*(1+'Raw Data'!C193/100)</f>
        <v>141.876318264076</v>
      </c>
      <c r="D193" s="5" t="n">
        <f aca="false">D192*(1+'Raw Data'!D193/100)</f>
        <v>173.630293577901</v>
      </c>
    </row>
    <row r="194" customFormat="false" ht="15" hidden="false" customHeight="false" outlineLevel="0" collapsed="false">
      <c r="A194" s="2" t="s">
        <v>197</v>
      </c>
      <c r="B194" s="3" t="n">
        <f aca="false">B193*(1+'Raw Data'!B194/100)</f>
        <v>171.044810742876</v>
      </c>
      <c r="C194" s="3" t="n">
        <f aca="false">C193*(1+'Raw Data'!C194/100)</f>
        <v>131.334907817055</v>
      </c>
      <c r="D194" s="3" t="n">
        <f aca="false">D193*(1+'Raw Data'!D194/100)</f>
        <v>163.906997137538</v>
      </c>
    </row>
    <row r="195" customFormat="false" ht="15" hidden="false" customHeight="false" outlineLevel="0" collapsed="false">
      <c r="A195" s="4" t="s">
        <v>198</v>
      </c>
      <c r="B195" s="5" t="n">
        <f aca="false">B194*(1+'Raw Data'!B195/100)</f>
        <v>170.839556969984</v>
      </c>
      <c r="C195" s="5" t="n">
        <f aca="false">C194*(1+'Raw Data'!C195/100)</f>
        <v>131.032837529076</v>
      </c>
      <c r="D195" s="5" t="n">
        <f aca="false">D194*(1+'Raw Data'!D195/100)</f>
        <v>163.743090140401</v>
      </c>
    </row>
    <row r="196" customFormat="false" ht="15" hidden="false" customHeight="false" outlineLevel="0" collapsed="false">
      <c r="A196" s="2" t="s">
        <v>199</v>
      </c>
      <c r="B196" s="3" t="n">
        <f aca="false">B195*(1+'Raw Data'!B196/100)</f>
        <v>176.357674660115</v>
      </c>
      <c r="C196" s="3" t="n">
        <f aca="false">C195*(1+'Raw Data'!C196/100)</f>
        <v>142.983032311728</v>
      </c>
      <c r="D196" s="3" t="n">
        <f aca="false">D195*(1+'Raw Data'!D196/100)</f>
        <v>174.713877179808</v>
      </c>
    </row>
    <row r="197" customFormat="false" ht="15" hidden="false" customHeight="false" outlineLevel="0" collapsed="false">
      <c r="A197" s="4" t="s">
        <v>200</v>
      </c>
      <c r="B197" s="5" t="n">
        <f aca="false">B196*(1+'Raw Data'!B197/100)</f>
        <v>176.763297311833</v>
      </c>
      <c r="C197" s="5" t="n">
        <f aca="false">C196*(1+'Raw Data'!C197/100)</f>
        <v>143.755140686211</v>
      </c>
      <c r="D197" s="5" t="n">
        <f aca="false">D196*(1+'Raw Data'!D197/100)</f>
        <v>175.412732688527</v>
      </c>
    </row>
    <row r="198" customFormat="false" ht="15" hidden="false" customHeight="false" outlineLevel="0" collapsed="false">
      <c r="A198" s="2" t="s">
        <v>201</v>
      </c>
      <c r="B198" s="3" t="n">
        <f aca="false">B197*(1+'Raw Data'!B198/100)</f>
        <v>178.301137998446</v>
      </c>
      <c r="C198" s="3" t="n">
        <f aca="false">C197*(1+'Raw Data'!C198/100)</f>
        <v>147.248390604886</v>
      </c>
      <c r="D198" s="3" t="n">
        <f aca="false">D197*(1+'Raw Data'!D198/100)</f>
        <v>178.57016187692</v>
      </c>
    </row>
    <row r="199" customFormat="false" ht="15" hidden="false" customHeight="false" outlineLevel="0" collapsed="false">
      <c r="A199" s="4" t="s">
        <v>202</v>
      </c>
      <c r="B199" s="5" t="n">
        <f aca="false">B198*(1+'Raw Data'!B199/100)</f>
        <v>178.711230615842</v>
      </c>
      <c r="C199" s="5" t="n">
        <f aca="false">C198*(1+'Raw Data'!C199/100)</f>
        <v>147.881558684487</v>
      </c>
      <c r="D199" s="5" t="n">
        <f aca="false">D198*(1+'Raw Data'!D199/100)</f>
        <v>178.927302200674</v>
      </c>
    </row>
    <row r="200" customFormat="false" ht="15" hidden="false" customHeight="false" outlineLevel="0" collapsed="false">
      <c r="A200" s="2" t="s">
        <v>203</v>
      </c>
      <c r="B200" s="3" t="n">
        <f aca="false">B199*(1+'Raw Data'!B200/100)</f>
        <v>182.053130628359</v>
      </c>
      <c r="C200" s="3" t="n">
        <f aca="false">C199*(1+'Raw Data'!C200/100)</f>
        <v>155.453094489133</v>
      </c>
      <c r="D200" s="3" t="n">
        <f aca="false">D199*(1+'Raw Data'!D200/100)</f>
        <v>185.547612382099</v>
      </c>
    </row>
    <row r="201" customFormat="false" ht="15" hidden="false" customHeight="false" outlineLevel="0" collapsed="false">
      <c r="A201" s="4" t="s">
        <v>204</v>
      </c>
      <c r="B201" s="5" t="n">
        <f aca="false">B200*(1+'Raw Data'!B201/100)</f>
        <v>182.271594385113</v>
      </c>
      <c r="C201" s="5" t="n">
        <f aca="false">C200*(1+'Raw Data'!C201/100)</f>
        <v>155.810636606458</v>
      </c>
      <c r="D201" s="5" t="n">
        <f aca="false">D200*(1+'Raw Data'!D201/100)</f>
        <v>185.733159994481</v>
      </c>
    </row>
    <row r="202" customFormat="false" ht="15" hidden="false" customHeight="false" outlineLevel="0" collapsed="false">
      <c r="A202" s="2" t="s">
        <v>205</v>
      </c>
      <c r="B202" s="3" t="n">
        <f aca="false">B201*(1+'Raw Data'!B202/100)</f>
        <v>182.490320298375</v>
      </c>
      <c r="C202" s="3" t="n">
        <f aca="false">C201*(1+'Raw Data'!C202/100)</f>
        <v>156.169001070652</v>
      </c>
      <c r="D202" s="3" t="n">
        <f aca="false">D201*(1+'Raw Data'!D202/100)</f>
        <v>185.733159994481</v>
      </c>
    </row>
    <row r="203" customFormat="false" ht="15" hidden="false" customHeight="false" outlineLevel="0" collapsed="false">
      <c r="A203" s="4" t="s">
        <v>206</v>
      </c>
      <c r="B203" s="5" t="n">
        <f aca="false">B202*(1+'Raw Data'!B203/100)</f>
        <v>180.77491128757</v>
      </c>
      <c r="C203" s="5" t="n">
        <f aca="false">C202*(1+'Raw Data'!C203/100)</f>
        <v>152.202308443458</v>
      </c>
      <c r="D203" s="5" t="n">
        <f aca="false">D202*(1+'Raw Data'!D203/100)</f>
        <v>182.204229954586</v>
      </c>
    </row>
    <row r="204" customFormat="false" ht="15" hidden="false" customHeight="false" outlineLevel="0" collapsed="false">
      <c r="A204" s="2" t="s">
        <v>207</v>
      </c>
      <c r="B204" s="3" t="n">
        <f aca="false">B203*(1+'Raw Data'!B204/100)</f>
        <v>184.155402128648</v>
      </c>
      <c r="C204" s="3" t="n">
        <f aca="false">C203*(1+'Raw Data'!C204/100)</f>
        <v>159.995066635763</v>
      </c>
      <c r="D204" s="3" t="n">
        <f aca="false">D203*(1+'Raw Data'!D204/100)</f>
        <v>188.945786462906</v>
      </c>
    </row>
    <row r="205" customFormat="false" ht="15" hidden="false" customHeight="false" outlineLevel="0" collapsed="false">
      <c r="A205" s="4" t="s">
        <v>208</v>
      </c>
      <c r="B205" s="5" t="n">
        <f aca="false">B204*(1+'Raw Data'!B205/100)</f>
        <v>186.03378723036</v>
      </c>
      <c r="C205" s="5" t="n">
        <f aca="false">C204*(1+'Raw Data'!C205/100)</f>
        <v>164.266934914938</v>
      </c>
      <c r="D205" s="5" t="n">
        <f aca="false">D204*(1+'Raw Data'!D205/100)</f>
        <v>192.724702192164</v>
      </c>
    </row>
    <row r="206" customFormat="false" ht="15" hidden="false" customHeight="false" outlineLevel="0" collapsed="false">
      <c r="A206" s="2" t="s">
        <v>209</v>
      </c>
      <c r="B206" s="3" t="n">
        <f aca="false">B205*(1+'Raw Data'!B206/100)</f>
        <v>187.782504830325</v>
      </c>
      <c r="C206" s="3" t="n">
        <f aca="false">C205*(1+'Raw Data'!C206/100)</f>
        <v>168.652862077167</v>
      </c>
      <c r="D206" s="3" t="n">
        <f aca="false">D205*(1+'Raw Data'!D206/100)</f>
        <v>196.386471533815</v>
      </c>
    </row>
    <row r="207" customFormat="false" ht="15" hidden="false" customHeight="false" outlineLevel="0" collapsed="false">
      <c r="A207" s="4" t="s">
        <v>210</v>
      </c>
      <c r="B207" s="5" t="n">
        <f aca="false">B206*(1+'Raw Data'!B207/100)</f>
        <v>191.425485424034</v>
      </c>
      <c r="C207" s="5" t="n">
        <f aca="false">C206*(1+'Raw Data'!C207/100)</f>
        <v>177.810712487957</v>
      </c>
      <c r="D207" s="5" t="n">
        <f aca="false">D206*(1+'Raw Data'!D207/100)</f>
        <v>203.8491574521</v>
      </c>
    </row>
    <row r="208" customFormat="false" ht="15" hidden="false" customHeight="false" outlineLevel="0" collapsed="false">
      <c r="A208" s="2" t="s">
        <v>211</v>
      </c>
      <c r="B208" s="3" t="n">
        <f aca="false">B207*(1+'Raw Data'!B208/100)</f>
        <v>191.655196006542</v>
      </c>
      <c r="C208" s="3" t="n">
        <f aca="false">C207*(1+'Raw Data'!C208/100)</f>
        <v>178.219677126679</v>
      </c>
      <c r="D208" s="3" t="n">
        <f aca="false">D207*(1+'Raw Data'!D208/100)</f>
        <v>204.053006609552</v>
      </c>
    </row>
    <row r="209" customFormat="false" ht="15" hidden="false" customHeight="false" outlineLevel="0" collapsed="false">
      <c r="A209" s="4" t="s">
        <v>212</v>
      </c>
      <c r="B209" s="5" t="n">
        <f aca="false">B208*(1+'Raw Data'!B209/100)</f>
        <v>192.690134064978</v>
      </c>
      <c r="C209" s="5" t="n">
        <f aca="false">C208*(1+'Raw Data'!C209/100)</f>
        <v>180.96426015443</v>
      </c>
      <c r="D209" s="5" t="n">
        <f aca="false">D208*(1+'Raw Data'!D209/100)</f>
        <v>206.297589682257</v>
      </c>
    </row>
    <row r="210" customFormat="false" ht="15" hidden="false" customHeight="false" outlineLevel="0" collapsed="false">
      <c r="A210" s="2" t="s">
        <v>213</v>
      </c>
      <c r="B210" s="3" t="n">
        <f aca="false">B209*(1+'Raw Data'!B210/100)</f>
        <v>193.884812896181</v>
      </c>
      <c r="C210" s="3" t="n">
        <f aca="false">C209*(1+'Raw Data'!C210/100)</f>
        <v>184.094941855102</v>
      </c>
      <c r="D210" s="3" t="n">
        <f aca="false">D209*(1+'Raw Data'!D210/100)</f>
        <v>208.979458348126</v>
      </c>
    </row>
    <row r="211" customFormat="false" ht="15" hidden="false" customHeight="false" outlineLevel="0" collapsed="false">
      <c r="A211" s="4" t="s">
        <v>214</v>
      </c>
      <c r="B211" s="5" t="n">
        <f aca="false">B210*(1+'Raw Data'!B211/100)</f>
        <v>194.544021260028</v>
      </c>
      <c r="C211" s="5" t="n">
        <f aca="false">C210*(1+'Raw Data'!C211/100)</f>
        <v>185.696567849241</v>
      </c>
      <c r="D211" s="5" t="n">
        <f aca="false">D210*(1+'Raw Data'!D211/100)</f>
        <v>210.233335098215</v>
      </c>
    </row>
    <row r="212" customFormat="false" ht="15" hidden="false" customHeight="false" outlineLevel="0" collapsed="false">
      <c r="A212" s="2" t="s">
        <v>215</v>
      </c>
      <c r="B212" s="3" t="n">
        <f aca="false">B211*(1+'Raw Data'!B212/100)</f>
        <v>196.72291429814</v>
      </c>
      <c r="C212" s="3" t="n">
        <f aca="false">C211*(1+'Raw Data'!C212/100)</f>
        <v>191.026059346514</v>
      </c>
      <c r="D212" s="3" t="n">
        <f aca="false">D211*(1+'Raw Data'!D212/100)</f>
        <v>214.648235135277</v>
      </c>
    </row>
    <row r="213" customFormat="false" ht="15" hidden="false" customHeight="false" outlineLevel="0" collapsed="false">
      <c r="A213" s="4" t="s">
        <v>216</v>
      </c>
      <c r="B213" s="5" t="n">
        <f aca="false">B212*(1+'Raw Data'!B213/100)</f>
        <v>197.175377001026</v>
      </c>
      <c r="C213" s="5" t="n">
        <f aca="false">C212*(1+'Raw Data'!C213/100)</f>
        <v>191.847471401704</v>
      </c>
      <c r="D213" s="5" t="n">
        <f aca="false">D212*(1+'Raw Data'!D213/100)</f>
        <v>215.292179840683</v>
      </c>
    </row>
    <row r="214" customFormat="false" ht="15" hidden="false" customHeight="false" outlineLevel="0" collapsed="false">
      <c r="A214" s="2" t="s">
        <v>217</v>
      </c>
      <c r="B214" s="3" t="n">
        <f aca="false">B213*(1+'Raw Data'!B214/100)</f>
        <v>199.186565846436</v>
      </c>
      <c r="C214" s="3" t="n">
        <f aca="false">C213*(1+'Raw Data'!C214/100)</f>
        <v>196.96979888813</v>
      </c>
      <c r="D214" s="3" t="n">
        <f aca="false">D213*(1+'Raw Data'!D214/100)</f>
        <v>219.598023437497</v>
      </c>
    </row>
    <row r="215" customFormat="false" ht="15" hidden="false" customHeight="false" outlineLevel="0" collapsed="false">
      <c r="A215" s="4" t="s">
        <v>218</v>
      </c>
      <c r="B215" s="5" t="n">
        <f aca="false">B214*(1+'Raw Data'!B215/100)</f>
        <v>201.636560606347</v>
      </c>
      <c r="C215" s="5" t="n">
        <f aca="false">C214*(1+'Raw Data'!C215/100)</f>
        <v>203.115256613439</v>
      </c>
      <c r="D215" s="5" t="n">
        <f aca="false">D214*(1+'Raw Data'!D215/100)</f>
        <v>224.648777976559</v>
      </c>
    </row>
    <row r="216" customFormat="false" ht="15" hidden="false" customHeight="false" outlineLevel="0" collapsed="false">
      <c r="A216" s="2" t="s">
        <v>219</v>
      </c>
      <c r="B216" s="3" t="n">
        <f aca="false">B215*(1+'Raw Data'!B216/100)</f>
        <v>204.90307288817</v>
      </c>
      <c r="C216" s="3" t="n">
        <f aca="false">C215*(1+'Raw Data'!C216/100)</f>
        <v>212.113262481415</v>
      </c>
      <c r="D216" s="3" t="n">
        <f aca="false">D215*(1+'Raw Data'!D216/100)</f>
        <v>231.612890093833</v>
      </c>
    </row>
    <row r="217" customFormat="false" ht="15" hidden="false" customHeight="false" outlineLevel="0" collapsed="false">
      <c r="A217" s="4" t="s">
        <v>220</v>
      </c>
      <c r="B217" s="5" t="n">
        <f aca="false">B216*(1+'Raw Data'!B217/100)</f>
        <v>206.173471940077</v>
      </c>
      <c r="C217" s="5" t="n">
        <f aca="false">C216*(1+'Raw Data'!C217/100)</f>
        <v>215.379806723629</v>
      </c>
      <c r="D217" s="5" t="n">
        <f aca="false">D216*(1+'Raw Data'!D217/100)</f>
        <v>234.160631884865</v>
      </c>
    </row>
    <row r="218" customFormat="false" ht="15" hidden="false" customHeight="false" outlineLevel="0" collapsed="false">
      <c r="A218" s="2" t="s">
        <v>221</v>
      </c>
      <c r="B218" s="3" t="n">
        <f aca="false">B217*(1+'Raw Data'!B218/100)</f>
        <v>212.090650584757</v>
      </c>
      <c r="C218" s="3" t="n">
        <f aca="false">C217*(1+'Raw Data'!C218/100)</f>
        <v>232.330197512778</v>
      </c>
      <c r="D218" s="3" t="n">
        <f aca="false">D217*(1+'Raw Data'!D218/100)</f>
        <v>247.507787902302</v>
      </c>
    </row>
    <row r="219" customFormat="false" ht="15" hidden="false" customHeight="false" outlineLevel="0" collapsed="false">
      <c r="A219" s="4" t="s">
        <v>222</v>
      </c>
      <c r="B219" s="5" t="n">
        <f aca="false">B218*(1+'Raw Data'!B219/100)</f>
        <v>208.421482329641</v>
      </c>
      <c r="C219" s="5" t="n">
        <f aca="false">C218*(1+'Raw Data'!C219/100)</f>
        <v>220.17932818286</v>
      </c>
      <c r="D219" s="5" t="n">
        <f aca="false">D218*(1+'Raw Data'!D219/100)</f>
        <v>238.102491962015</v>
      </c>
    </row>
    <row r="220" customFormat="false" ht="15" hidden="false" customHeight="false" outlineLevel="0" collapsed="false">
      <c r="A220" s="2" t="s">
        <v>223</v>
      </c>
      <c r="B220" s="3" t="n">
        <f aca="false">B219*(1+'Raw Data'!B220/100)</f>
        <v>205.857898096986</v>
      </c>
      <c r="C220" s="3" t="n">
        <f aca="false">C219*(1+'Raw Data'!C220/100)</f>
        <v>212.384979965187</v>
      </c>
      <c r="D220" s="3" t="n">
        <f aca="false">D219*(1+'Raw Data'!D220/100)</f>
        <v>231.911827171002</v>
      </c>
    </row>
    <row r="221" customFormat="false" ht="15" hidden="false" customHeight="false" outlineLevel="0" collapsed="false">
      <c r="A221" s="4" t="s">
        <v>224</v>
      </c>
      <c r="B221" s="5" t="n">
        <f aca="false">B220*(1+'Raw Data'!B221/100)</f>
        <v>206.331371262609</v>
      </c>
      <c r="C221" s="5" t="n">
        <f aca="false">C220*(1+'Raw Data'!C221/100)</f>
        <v>213.531858856999</v>
      </c>
      <c r="D221" s="5" t="n">
        <f aca="false">D220*(1+'Raw Data'!D221/100)</f>
        <v>232.839474479686</v>
      </c>
    </row>
    <row r="222" customFormat="false" ht="15" hidden="false" customHeight="false" outlineLevel="0" collapsed="false">
      <c r="A222" s="2" t="s">
        <v>225</v>
      </c>
      <c r="B222" s="3" t="n">
        <f aca="false">B221*(1+'Raw Data'!B222/100)</f>
        <v>208.64228262075</v>
      </c>
      <c r="C222" s="3" t="n">
        <f aca="false">C221*(1+'Raw Data'!C222/100)</f>
        <v>220.194052853337</v>
      </c>
      <c r="D222" s="3" t="n">
        <f aca="false">D221*(1+'Raw Data'!D222/100)</f>
        <v>238.427621867199</v>
      </c>
    </row>
    <row r="223" customFormat="false" ht="15" hidden="false" customHeight="false" outlineLevel="0" collapsed="false">
      <c r="A223" s="4" t="s">
        <v>226</v>
      </c>
      <c r="B223" s="5" t="n">
        <f aca="false">B222*(1+'Raw Data'!B223/100)</f>
        <v>209.351666381661</v>
      </c>
      <c r="C223" s="5" t="n">
        <f aca="false">C222*(1+'Raw Data'!C223/100)</f>
        <v>222.109741113161</v>
      </c>
      <c r="D223" s="5" t="n">
        <f aca="false">D222*(1+'Raw Data'!D223/100)</f>
        <v>239.858187598402</v>
      </c>
    </row>
    <row r="224" customFormat="false" ht="15" hidden="false" customHeight="false" outlineLevel="0" collapsed="false">
      <c r="A224" s="2" t="s">
        <v>227</v>
      </c>
      <c r="B224" s="3" t="n">
        <f aca="false">B223*(1+'Raw Data'!B224/100)</f>
        <v>213.266542542998</v>
      </c>
      <c r="C224" s="3" t="n">
        <f aca="false">C223*(1+'Raw Data'!C224/100)</f>
        <v>233.481759858155</v>
      </c>
      <c r="D224" s="3" t="n">
        <f aca="false">D223*(1+'Raw Data'!D224/100)</f>
        <v>248.732940539543</v>
      </c>
    </row>
    <row r="225" customFormat="false" ht="15" hidden="false" customHeight="false" outlineLevel="0" collapsed="false">
      <c r="A225" s="4" t="s">
        <v>228</v>
      </c>
      <c r="B225" s="5" t="n">
        <f aca="false">B224*(1+'Raw Data'!B225/100)</f>
        <v>216.956053728992</v>
      </c>
      <c r="C225" s="5" t="n">
        <f aca="false">C224*(1+'Raw Data'!C225/100)</f>
        <v>243.825001819871</v>
      </c>
      <c r="D225" s="5" t="n">
        <f aca="false">D224*(1+'Raw Data'!D225/100)</f>
        <v>256.941127577348</v>
      </c>
    </row>
    <row r="226" customFormat="false" ht="15" hidden="false" customHeight="false" outlineLevel="0" collapsed="false">
      <c r="A226" s="2" t="s">
        <v>229</v>
      </c>
      <c r="B226" s="3" t="n">
        <f aca="false">B225*(1+'Raw Data'!B226/100)</f>
        <v>217.693704311671</v>
      </c>
      <c r="C226" s="3" t="n">
        <f aca="false">C225*(1+'Raw Data'!C226/100)</f>
        <v>245.946279335704</v>
      </c>
      <c r="D226" s="3" t="n">
        <f aca="false">D225*(1+'Raw Data'!D226/100)</f>
        <v>258.482774342812</v>
      </c>
    </row>
    <row r="227" customFormat="false" ht="15" hidden="false" customHeight="false" outlineLevel="0" collapsed="false">
      <c r="A227" s="4" t="s">
        <v>230</v>
      </c>
      <c r="B227" s="5" t="n">
        <f aca="false">B226*(1+'Raw Data'!B227/100)</f>
        <v>210.22681025378</v>
      </c>
      <c r="C227" s="5" t="n">
        <f aca="false">C226*(1+'Raw Data'!C227/100)</f>
        <v>221.67138156527</v>
      </c>
      <c r="D227" s="5" t="n">
        <f aca="false">D226*(1+'Raw Data'!D227/100)</f>
        <v>240.130497364472</v>
      </c>
    </row>
    <row r="228" customFormat="false" ht="15" hidden="false" customHeight="false" outlineLevel="0" collapsed="false">
      <c r="A228" s="2" t="s">
        <v>231</v>
      </c>
      <c r="B228" s="3" t="n">
        <f aca="false">B227*(1+'Raw Data'!B228/100)</f>
        <v>208.250678237395</v>
      </c>
      <c r="C228" s="3" t="n">
        <f aca="false">C227*(1+'Raw Data'!C228/100)</f>
        <v>215.752755677477</v>
      </c>
      <c r="D228" s="3" t="n">
        <f aca="false">D227*(1+'Raw Data'!D228/100)</f>
        <v>235.327887417183</v>
      </c>
    </row>
    <row r="229" customFormat="false" ht="15" hidden="false" customHeight="false" outlineLevel="0" collapsed="false">
      <c r="A229" s="4" t="s">
        <v>232</v>
      </c>
      <c r="B229" s="5" t="n">
        <f aca="false">B228*(1+'Raw Data'!B229/100)</f>
        <v>199.025173191478</v>
      </c>
      <c r="C229" s="5" t="n">
        <f aca="false">C228*(1+'Raw Data'!C229/100)</f>
        <v>187.985376021786</v>
      </c>
      <c r="D229" s="5" t="n">
        <f aca="false">D228*(1+'Raw Data'!D229/100)</f>
        <v>213.677721774802</v>
      </c>
    </row>
    <row r="230" customFormat="false" ht="15" hidden="false" customHeight="false" outlineLevel="0" collapsed="false">
      <c r="A230" s="2" t="s">
        <v>233</v>
      </c>
      <c r="B230" s="3" t="n">
        <f aca="false">B229*(1+'Raw Data'!B230/100)</f>
        <v>206.727447393988</v>
      </c>
      <c r="C230" s="3" t="n">
        <f aca="false">C229*(1+'Raw Data'!C230/100)</f>
        <v>209.096133749032</v>
      </c>
      <c r="D230" s="3" t="n">
        <f aca="false">D229*(1+'Raw Data'!D230/100)</f>
        <v>230.985617238561</v>
      </c>
    </row>
    <row r="231" customFormat="false" ht="15" hidden="false" customHeight="false" outlineLevel="0" collapsed="false">
      <c r="A231" s="4" t="s">
        <v>234</v>
      </c>
      <c r="B231" s="5" t="n">
        <f aca="false">B230*(1+'Raw Data'!B231/100)</f>
        <v>210.076432041771</v>
      </c>
      <c r="C231" s="5" t="n">
        <f aca="false">C230*(1+'Raw Data'!C231/100)</f>
        <v>218.359092474115</v>
      </c>
      <c r="D231" s="5" t="n">
        <f aca="false">D230*(1+'Raw Data'!D231/100)</f>
        <v>238.377156990195</v>
      </c>
    </row>
    <row r="232" customFormat="false" ht="15" hidden="false" customHeight="false" outlineLevel="0" collapsed="false">
      <c r="A232" s="2" t="s">
        <v>235</v>
      </c>
      <c r="B232" s="3" t="n">
        <f aca="false">B231*(1+'Raw Data'!B232/100)</f>
        <v>212.051150502964</v>
      </c>
      <c r="C232" s="3" t="n">
        <f aca="false">C231*(1+'Raw Data'!C232/100)</f>
        <v>224.189280243173</v>
      </c>
      <c r="D232" s="3" t="n">
        <f aca="false">D231*(1+'Raw Data'!D232/100)</f>
        <v>242.906322973008</v>
      </c>
    </row>
    <row r="233" customFormat="false" ht="15" hidden="false" customHeight="false" outlineLevel="0" collapsed="false">
      <c r="A233" s="4" t="s">
        <v>236</v>
      </c>
      <c r="B233" s="5" t="n">
        <f aca="false">B232*(1+'Raw Data'!B233/100)</f>
        <v>216.546634893626</v>
      </c>
      <c r="C233" s="5" t="n">
        <f aca="false">C232*(1+'Raw Data'!C233/100)</f>
        <v>236.362758160378</v>
      </c>
      <c r="D233" s="5" t="n">
        <f aca="false">D232*(1+'Raw Data'!D233/100)</f>
        <v>252.622575891929</v>
      </c>
    </row>
    <row r="234" customFormat="false" ht="15" hidden="false" customHeight="false" outlineLevel="0" collapsed="false">
      <c r="A234" s="2" t="s">
        <v>237</v>
      </c>
      <c r="B234" s="3" t="n">
        <f aca="false">B233*(1+'Raw Data'!B234/100)</f>
        <v>209.552178586562</v>
      </c>
      <c r="C234" s="3" t="n">
        <f aca="false">C233*(1+'Raw Data'!C234/100)</f>
        <v>215.397381511552</v>
      </c>
      <c r="D234" s="3" t="n">
        <f aca="false">D233*(1+'Raw Data'!D234/100)</f>
        <v>235.949485883061</v>
      </c>
    </row>
    <row r="235" customFormat="false" ht="15" hidden="false" customHeight="false" outlineLevel="0" collapsed="false">
      <c r="A235" s="4" t="s">
        <v>238</v>
      </c>
      <c r="B235" s="5" t="n">
        <f aca="false">B234*(1+'Raw Data'!B235/100)</f>
        <v>216.551221351354</v>
      </c>
      <c r="C235" s="5" t="n">
        <f aca="false">C234*(1+'Raw Data'!C235/100)</f>
        <v>235.709354588092</v>
      </c>
      <c r="D235" s="5" t="n">
        <f aca="false">D234*(1+'Raw Data'!D235/100)</f>
        <v>252.230000408993</v>
      </c>
    </row>
    <row r="236" customFormat="false" ht="15" hidden="false" customHeight="false" outlineLevel="0" collapsed="false">
      <c r="A236" s="2" t="s">
        <v>239</v>
      </c>
      <c r="B236" s="3" t="n">
        <f aca="false">B235*(1+'Raw Data'!B236/100)</f>
        <v>218.132045267218</v>
      </c>
      <c r="C236" s="3" t="n">
        <f aca="false">C235*(1+'Raw Data'!C236/100)</f>
        <v>240.117119518889</v>
      </c>
      <c r="D236" s="3" t="n">
        <f aca="false">D235*(1+'Raw Data'!D236/100)</f>
        <v>255.761220414719</v>
      </c>
    </row>
    <row r="237" customFormat="false" ht="15" hidden="false" customHeight="false" outlineLevel="0" collapsed="false">
      <c r="A237" s="4" t="s">
        <v>240</v>
      </c>
      <c r="B237" s="5" t="n">
        <f aca="false">B236*(1+'Raw Data'!B237/100)</f>
        <v>215.907098405493</v>
      </c>
      <c r="C237" s="5" t="n">
        <f aca="false">C236*(1+'Raw Data'!C237/100)</f>
        <v>233.225758188697</v>
      </c>
      <c r="D237" s="5" t="n">
        <f aca="false">D236*(1+'Raw Data'!D237/100)</f>
        <v>250.390234786009</v>
      </c>
    </row>
    <row r="238" customFormat="false" ht="15" hidden="false" customHeight="false" outlineLevel="0" collapsed="false">
      <c r="A238" s="2" t="s">
        <v>241</v>
      </c>
      <c r="B238" s="3" t="n">
        <f aca="false">B237*(1+'Raw Data'!B238/100)</f>
        <v>217.936625130504</v>
      </c>
      <c r="C238" s="3" t="n">
        <f aca="false">C237*(1+'Raw Data'!C238/100)</f>
        <v>239.452885932335</v>
      </c>
      <c r="D238" s="3" t="n">
        <f aca="false">D237*(1+'Raw Data'!D238/100)</f>
        <v>255.147649246944</v>
      </c>
    </row>
    <row r="239" customFormat="false" ht="15" hidden="false" customHeight="false" outlineLevel="0" collapsed="false">
      <c r="A239" s="4" t="s">
        <v>242</v>
      </c>
      <c r="B239" s="5" t="n">
        <f aca="false">B238*(1+'Raw Data'!B239/100)</f>
        <v>220.377515331966</v>
      </c>
      <c r="C239" s="5" t="n">
        <f aca="false">C238*(1+'Raw Data'!C239/100)</f>
        <v>246.325183758593</v>
      </c>
      <c r="D239" s="5" t="n">
        <f aca="false">D238*(1+'Raw Data'!D239/100)</f>
        <v>260.760897530376</v>
      </c>
    </row>
    <row r="240" customFormat="false" ht="15" hidden="false" customHeight="false" outlineLevel="0" collapsed="false">
      <c r="A240" s="2" t="s">
        <v>243</v>
      </c>
      <c r="B240" s="3" t="n">
        <f aca="false">B239*(1+'Raw Data'!B240/100)</f>
        <v>224.498574868674</v>
      </c>
      <c r="C240" s="3" t="n">
        <f aca="false">C239*(1+'Raw Data'!C240/100)</f>
        <v>258.937033167033</v>
      </c>
      <c r="D240" s="3" t="n">
        <f aca="false">D239*(1+'Raw Data'!D240/100)</f>
        <v>270.409050739</v>
      </c>
    </row>
    <row r="241" customFormat="false" ht="15" hidden="false" customHeight="false" outlineLevel="0" collapsed="false">
      <c r="A241" s="4" t="s">
        <v>244</v>
      </c>
      <c r="B241" s="5" t="n">
        <f aca="false">B240*(1+'Raw Data'!B241/100)</f>
        <v>227.708904489296</v>
      </c>
      <c r="C241" s="5" t="n">
        <f aca="false">C240*(1+'Raw Data'!C241/100)</f>
        <v>268.957896350597</v>
      </c>
      <c r="D241" s="5" t="n">
        <f aca="false">D240*(1+'Raw Data'!D241/100)</f>
        <v>278.250913210431</v>
      </c>
    </row>
    <row r="242" customFormat="false" ht="15" hidden="false" customHeight="false" outlineLevel="0" collapsed="false">
      <c r="A242" s="2" t="s">
        <v>245</v>
      </c>
      <c r="B242" s="3" t="n">
        <f aca="false">B241*(1+'Raw Data'!B242/100)</f>
        <v>227.435653803909</v>
      </c>
      <c r="C242" s="3" t="n">
        <f aca="false">C241*(1+'Raw Data'!C242/100)</f>
        <v>268.339293188991</v>
      </c>
      <c r="D242" s="3" t="n">
        <f aca="false">D241*(1+'Raw Data'!D242/100)</f>
        <v>277.69441138401</v>
      </c>
    </row>
    <row r="243" customFormat="false" ht="15" hidden="false" customHeight="false" outlineLevel="0" collapsed="false">
      <c r="A243" s="4" t="s">
        <v>246</v>
      </c>
      <c r="B243" s="5" t="n">
        <f aca="false">B242*(1+'Raw Data'!B243/100)</f>
        <v>218.065304867188</v>
      </c>
      <c r="C243" s="5" t="n">
        <f aca="false">C242*(1+'Raw Data'!C243/100)</f>
        <v>237.668111977489</v>
      </c>
      <c r="D243" s="5" t="n">
        <f aca="false">D242*(1+'Raw Data'!D243/100)</f>
        <v>254.368080827754</v>
      </c>
    </row>
    <row r="244" customFormat="false" ht="15" hidden="false" customHeight="false" outlineLevel="0" collapsed="false">
      <c r="A244" s="2" t="s">
        <v>247</v>
      </c>
      <c r="B244" s="3" t="n">
        <f aca="false">B243*(1+'Raw Data'!B244/100)</f>
        <v>204.043705764228</v>
      </c>
      <c r="C244" s="3" t="n">
        <f aca="false">C243*(1+'Raw Data'!C244/100)</f>
        <v>190.443458127562</v>
      </c>
      <c r="D244" s="3" t="n">
        <f aca="false">D243*(1+'Raw Data'!D244/100)</f>
        <v>220.028389916007</v>
      </c>
    </row>
    <row r="245" customFormat="false" ht="15" hidden="false" customHeight="false" outlineLevel="0" collapsed="false">
      <c r="A245" s="4" t="s">
        <v>248</v>
      </c>
      <c r="B245" s="5" t="n">
        <f aca="false">B244*(1+'Raw Data'!B245/100)</f>
        <v>216.755628633339</v>
      </c>
      <c r="C245" s="5" t="n">
        <f aca="false">C244*(1+'Raw Data'!C245/100)</f>
        <v>225.542187460472</v>
      </c>
      <c r="D245" s="5" t="n">
        <f aca="false">D244*(1+'Raw Data'!D245/100)</f>
        <v>248.852108995004</v>
      </c>
    </row>
    <row r="246" customFormat="false" ht="15" hidden="false" customHeight="false" outlineLevel="0" collapsed="false">
      <c r="A246" s="2" t="s">
        <v>249</v>
      </c>
      <c r="B246" s="3" t="n">
        <f aca="false">B245*(1+'Raw Data'!B246/100)</f>
        <v>222.976515175116</v>
      </c>
      <c r="C246" s="3" t="n">
        <f aca="false">C245*(1+'Raw Data'!C246/100)</f>
        <v>243.856213082262</v>
      </c>
      <c r="D246" s="3" t="n">
        <f aca="false">D245*(1+'Raw Data'!D246/100)</f>
        <v>263.285531316714</v>
      </c>
    </row>
    <row r="247" customFormat="false" ht="15" hidden="false" customHeight="false" outlineLevel="0" collapsed="false">
      <c r="A247" s="4" t="s">
        <v>250</v>
      </c>
      <c r="B247" s="5" t="n">
        <f aca="false">B246*(1+'Raw Data'!B247/100)</f>
        <v>225.072494417762</v>
      </c>
      <c r="C247" s="5" t="n">
        <f aca="false">C246*(1+'Raw Data'!C247/100)</f>
        <v>250.854886397723</v>
      </c>
      <c r="D247" s="5" t="n">
        <f aca="false">D246*(1+'Raw Data'!D247/100)</f>
        <v>268.551241943048</v>
      </c>
    </row>
    <row r="248" customFormat="false" ht="15" hidden="false" customHeight="false" outlineLevel="0" collapsed="false">
      <c r="A248" s="2" t="s">
        <v>251</v>
      </c>
      <c r="B248" s="3" t="n">
        <f aca="false">B247*(1+'Raw Data'!B248/100)</f>
        <v>231.081930018716</v>
      </c>
      <c r="C248" s="3" t="n">
        <f aca="false">C247*(1+'Raw Data'!C248/100)</f>
        <v>270.597165957224</v>
      </c>
      <c r="D248" s="3" t="n">
        <f aca="false">D247*(1+'Raw Data'!D248/100)</f>
        <v>283.858662733802</v>
      </c>
    </row>
    <row r="249" customFormat="false" ht="15" hidden="false" customHeight="false" outlineLevel="0" collapsed="false">
      <c r="A249" s="4" t="s">
        <v>252</v>
      </c>
      <c r="B249" s="5" t="n">
        <f aca="false">B248*(1+'Raw Data'!B249/100)</f>
        <v>239.008040218358</v>
      </c>
      <c r="C249" s="5" t="n">
        <f aca="false">C248*(1+'Raw Data'!C249/100)</f>
        <v>297.305106237202</v>
      </c>
      <c r="D249" s="5" t="n">
        <f aca="false">D248*(1+'Raw Data'!D249/100)</f>
        <v>304.296486450636</v>
      </c>
    </row>
    <row r="250" customFormat="false" ht="15" hidden="false" customHeight="false" outlineLevel="0" collapsed="false">
      <c r="A250" s="2" t="s">
        <v>253</v>
      </c>
      <c r="B250" s="3" t="n">
        <f aca="false">B249*(1+'Raw Data'!B250/100)</f>
        <v>234.538589866275</v>
      </c>
      <c r="C250" s="3" t="n">
        <f aca="false">C249*(1+'Raw Data'!C250/100)</f>
        <v>281.161438968522</v>
      </c>
      <c r="D250" s="3" t="n">
        <f aca="false">D249*(1+'Raw Data'!D250/100)</f>
        <v>292.733219965512</v>
      </c>
    </row>
    <row r="251" customFormat="false" ht="15" hidden="false" customHeight="false" outlineLevel="0" collapsed="false">
      <c r="A251" s="4" t="s">
        <v>254</v>
      </c>
      <c r="B251" s="5" t="n">
        <f aca="false">B250*(1+'Raw Data'!B251/100)</f>
        <v>231.395772762067</v>
      </c>
      <c r="C251" s="5" t="n">
        <f aca="false">C250*(1+'Raw Data'!C251/100)</f>
        <v>270.28049128044</v>
      </c>
      <c r="D251" s="5" t="n">
        <f aca="false">D250*(1+'Raw Data'!D251/100)</f>
        <v>284.536689806477</v>
      </c>
    </row>
    <row r="252" customFormat="false" ht="15" hidden="false" customHeight="false" outlineLevel="0" collapsed="false">
      <c r="A252" s="2" t="s">
        <v>255</v>
      </c>
      <c r="B252" s="3" t="n">
        <f aca="false">B251*(1+'Raw Data'!B252/100)</f>
        <v>243.243236327484</v>
      </c>
      <c r="C252" s="3" t="n">
        <f aca="false">C251*(1+'Raw Data'!C252/100)</f>
        <v>310.471200333841</v>
      </c>
      <c r="D252" s="3" t="n">
        <f aca="false">D251*(1+'Raw Data'!D252/100)</f>
        <v>315.551188995383</v>
      </c>
    </row>
    <row r="253" customFormat="false" ht="15" hidden="false" customHeight="false" outlineLevel="0" collapsed="false">
      <c r="A253" s="4" t="s">
        <v>256</v>
      </c>
      <c r="B253" s="5" t="n">
        <f aca="false">B252*(1+'Raw Data'!B253/100)</f>
        <v>247.791884846808</v>
      </c>
      <c r="C253" s="5" t="n">
        <f aca="false">C252*(1+'Raw Data'!C253/100)</f>
        <v>327.329786511969</v>
      </c>
      <c r="D253" s="5" t="n">
        <f aca="false">D252*(1+'Raw Data'!D253/100)</f>
        <v>327.542134177208</v>
      </c>
    </row>
    <row r="254" customFormat="false" ht="15" hidden="false" customHeight="false" outlineLevel="0" collapsed="false">
      <c r="A254" s="2" t="s">
        <v>257</v>
      </c>
      <c r="B254" s="3" t="n">
        <f aca="false">B253*(1+'Raw Data'!B254/100)</f>
        <v>246.453808668636</v>
      </c>
      <c r="C254" s="3" t="n">
        <f aca="false">C253*(1+'Raw Data'!C254/100)</f>
        <v>322.648970564848</v>
      </c>
      <c r="D254" s="3" t="n">
        <f aca="false">D253*(1+'Raw Data'!D254/100)</f>
        <v>324.266712835436</v>
      </c>
    </row>
    <row r="255" customFormat="false" ht="15" hidden="false" customHeight="false" outlineLevel="0" collapsed="false">
      <c r="A255" s="4" t="s">
        <v>258</v>
      </c>
      <c r="B255" s="5" t="n">
        <f aca="false">B254*(1+'Raw Data'!B255/100)</f>
        <v>249.978098132597</v>
      </c>
      <c r="C255" s="5" t="n">
        <f aca="false">C254*(1+'Raw Data'!C255/100)</f>
        <v>335.135485725707</v>
      </c>
      <c r="D255" s="5" t="n">
        <f aca="false">D254*(1+'Raw Data'!D255/100)</f>
        <v>333.346180794828</v>
      </c>
    </row>
    <row r="256" customFormat="false" ht="15" hidden="false" customHeight="false" outlineLevel="0" collapsed="false">
      <c r="A256" s="2" t="s">
        <v>259</v>
      </c>
      <c r="B256" s="3" t="n">
        <f aca="false">B255*(1+'Raw Data'!B256/100)</f>
        <v>255.552609720954</v>
      </c>
      <c r="C256" s="3" t="n">
        <f aca="false">C255*(1+'Raw Data'!C256/100)</f>
        <v>355.645777452121</v>
      </c>
      <c r="D256" s="3" t="n">
        <f aca="false">D255*(1+'Raw Data'!D256/100)</f>
        <v>348.0134127498</v>
      </c>
    </row>
    <row r="257" customFormat="false" ht="15" hidden="false" customHeight="false" outlineLevel="0" collapsed="false">
      <c r="A257" s="4" t="s">
        <v>260</v>
      </c>
      <c r="B257" s="5" t="n">
        <f aca="false">B256*(1+'Raw Data'!B257/100)</f>
        <v>262.375864400504</v>
      </c>
      <c r="C257" s="5" t="n">
        <f aca="false">C256*(1+'Raw Data'!C257/100)</f>
        <v>382.070258716813</v>
      </c>
      <c r="D257" s="5" t="n">
        <f aca="false">D256*(1+'Raw Data'!D257/100)</f>
        <v>366.45812362554</v>
      </c>
    </row>
    <row r="258" customFormat="false" ht="15" hidden="false" customHeight="false" outlineLevel="0" collapsed="false">
      <c r="A258" s="2" t="s">
        <v>261</v>
      </c>
      <c r="B258" s="3" t="n">
        <f aca="false">B257*(1+'Raw Data'!B258/100)</f>
        <v>263.504080617426</v>
      </c>
      <c r="C258" s="3" t="n">
        <f aca="false">C257*(1+'Raw Data'!C258/100)</f>
        <v>385.661719148751</v>
      </c>
      <c r="D258" s="3" t="n">
        <f aca="false">D257*(1+'Raw Data'!D258/100)</f>
        <v>369.023330490919</v>
      </c>
    </row>
    <row r="259" customFormat="false" ht="15" hidden="false" customHeight="false" outlineLevel="0" collapsed="false">
      <c r="A259" s="4" t="s">
        <v>262</v>
      </c>
      <c r="B259" s="5" t="n">
        <f aca="false">B258*(1+'Raw Data'!B259/100)</f>
        <v>266.74518080902</v>
      </c>
      <c r="C259" s="5" t="n">
        <f aca="false">C258*(1+'Raw Data'!C259/100)</f>
        <v>397.694364786192</v>
      </c>
      <c r="D259" s="5" t="n">
        <f aca="false">D258*(1+'Raw Data'!D259/100)</f>
        <v>377.51086709221</v>
      </c>
    </row>
    <row r="260" customFormat="false" ht="15" hidden="false" customHeight="false" outlineLevel="0" collapsed="false">
      <c r="A260" s="2" t="s">
        <v>263</v>
      </c>
      <c r="B260" s="3" t="n">
        <f aca="false">B259*(1+'Raw Data'!B260/100)</f>
        <v>270.026146532971</v>
      </c>
      <c r="C260" s="3" t="n">
        <f aca="false">C259*(1+'Raw Data'!C260/100)</f>
        <v>410.102428967521</v>
      </c>
      <c r="D260" s="3" t="n">
        <f aca="false">D259*(1+'Raw Data'!D260/100)</f>
        <v>386.571127902423</v>
      </c>
    </row>
    <row r="261" customFormat="false" ht="15" hidden="false" customHeight="false" outlineLevel="0" collapsed="false">
      <c r="A261" s="4" t="s">
        <v>264</v>
      </c>
      <c r="B261" s="5" t="n">
        <f aca="false">B260*(1+'Raw Data'!B261/100)</f>
        <v>274.184549189579</v>
      </c>
      <c r="C261" s="5" t="n">
        <f aca="false">C260*(1+'Raw Data'!C261/100)</f>
        <v>426.998649040983</v>
      </c>
      <c r="D261" s="5" t="n">
        <f aca="false">D260*(1+'Raw Data'!D261/100)</f>
        <v>398.168261739495</v>
      </c>
    </row>
    <row r="262" customFormat="false" ht="15" hidden="false" customHeight="false" outlineLevel="0" collapsed="false">
      <c r="A262" s="2" t="s">
        <v>265</v>
      </c>
      <c r="B262" s="3" t="n">
        <f aca="false">B261*(1+'Raw Data'!B262/100)</f>
        <v>267.768630738543</v>
      </c>
      <c r="C262" s="3" t="n">
        <f aca="false">C261*(1+'Raw Data'!C262/100)</f>
        <v>399.542635907648</v>
      </c>
      <c r="D262" s="3" t="n">
        <f aca="false">D261*(1+'Raw Data'!D262/100)</f>
        <v>379.454353437739</v>
      </c>
    </row>
    <row r="263" customFormat="false" ht="15" hidden="false" customHeight="false" outlineLevel="0" collapsed="false">
      <c r="A263" s="4" t="s">
        <v>266</v>
      </c>
      <c r="B263" s="5" t="n">
        <f aca="false">B262*(1+'Raw Data'!B263/100)</f>
        <v>277.247640266687</v>
      </c>
      <c r="C263" s="5" t="n">
        <f aca="false">C262*(1+'Raw Data'!C263/100)</f>
        <v>437.219506473739</v>
      </c>
      <c r="D263" s="5" t="n">
        <f aca="false">D262*(1+'Raw Data'!D263/100)</f>
        <v>406.016158178381</v>
      </c>
    </row>
    <row r="264" customFormat="false" ht="15" hidden="false" customHeight="false" outlineLevel="0" collapsed="false">
      <c r="A264" s="2" t="s">
        <v>267</v>
      </c>
      <c r="B264" s="3" t="n">
        <f aca="false">B263*(1+'Raw Data'!B264/100)</f>
        <v>276.05547541354</v>
      </c>
      <c r="C264" s="3" t="n">
        <f aca="false">C263*(1+'Raw Data'!C264/100)</f>
        <v>432.322648001233</v>
      </c>
      <c r="D264" s="3" t="n">
        <f aca="false">D263*(1+'Raw Data'!D264/100)</f>
        <v>402.768028912954</v>
      </c>
    </row>
    <row r="265" customFormat="false" ht="15" hidden="false" customHeight="false" outlineLevel="0" collapsed="false">
      <c r="A265" s="4" t="s">
        <v>268</v>
      </c>
      <c r="B265" s="5" t="n">
        <f aca="false">B264*(1+'Raw Data'!B265/100)</f>
        <v>282.515173538217</v>
      </c>
      <c r="C265" s="5" t="n">
        <f aca="false">C264*(1+'Raw Data'!C265/100)</f>
        <v>458.780794058909</v>
      </c>
      <c r="D265" s="5" t="n">
        <f aca="false">D264*(1+'Raw Data'!D265/100)</f>
        <v>420.892590214037</v>
      </c>
    </row>
    <row r="266" customFormat="false" ht="15" hidden="false" customHeight="false" outlineLevel="0" collapsed="false">
      <c r="A266" s="2" t="s">
        <v>269</v>
      </c>
      <c r="B266" s="3" t="n">
        <f aca="false">B265*(1+'Raw Data'!B266/100)</f>
        <v>275.339288130346</v>
      </c>
      <c r="C266" s="3" t="n">
        <f aca="false">C265*(1+'Raw Data'!C266/100)</f>
        <v>426.115601521914</v>
      </c>
      <c r="D266" s="3" t="n">
        <f aca="false">D265*(1+'Raw Data'!D266/100)</f>
        <v>399.006175522907</v>
      </c>
    </row>
    <row r="267" customFormat="false" ht="15" hidden="false" customHeight="false" outlineLevel="0" collapsed="false">
      <c r="A267" s="4" t="s">
        <v>270</v>
      </c>
      <c r="B267" s="5" t="n">
        <f aca="false">B266*(1+'Raw Data'!B267/100)</f>
        <v>271.401936310083</v>
      </c>
      <c r="C267" s="5" t="n">
        <f aca="false">C266*(1+'Raw Data'!C267/100)</f>
        <v>408.559638739212</v>
      </c>
      <c r="D267" s="5" t="n">
        <f aca="false">D266*(1+'Raw Data'!D267/100)</f>
        <v>387.03599025722</v>
      </c>
    </row>
    <row r="268" customFormat="false" ht="15" hidden="false" customHeight="false" outlineLevel="0" collapsed="false">
      <c r="A268" s="2" t="s">
        <v>271</v>
      </c>
      <c r="B268" s="3" t="n">
        <f aca="false">B267*(1+'Raw Data'!B268/100)</f>
        <v>276.477152519081</v>
      </c>
      <c r="C268" s="3" t="n">
        <f aca="false">C267*(1+'Raw Data'!C268/100)</f>
        <v>428.456493145811</v>
      </c>
      <c r="D268" s="3" t="n">
        <f aca="false">D267*(1+'Raw Data'!D268/100)</f>
        <v>400.969285906479</v>
      </c>
    </row>
    <row r="269" customFormat="false" ht="15" hidden="false" customHeight="false" outlineLevel="0" collapsed="false">
      <c r="A269" s="4" t="s">
        <v>272</v>
      </c>
      <c r="B269" s="5" t="n">
        <f aca="false">B268*(1+'Raw Data'!B269/100)</f>
        <v>264.478044099753</v>
      </c>
      <c r="C269" s="5" t="n">
        <f aca="false">C268*(1+'Raw Data'!C269/100)</f>
        <v>375.199351047787</v>
      </c>
      <c r="D269" s="5" t="n">
        <f aca="false">D268*(1+'Raw Data'!D269/100)</f>
        <v>365.283019460803</v>
      </c>
    </row>
    <row r="270" customFormat="false" ht="15" hidden="false" customHeight="false" outlineLevel="0" collapsed="false">
      <c r="A270" s="2" t="s">
        <v>273</v>
      </c>
      <c r="B270" s="3" t="n">
        <f aca="false">B269*(1+'Raw Data'!B270/100)</f>
        <v>264.795417752673</v>
      </c>
      <c r="C270" s="3" t="n">
        <f aca="false">C269*(1+'Raw Data'!C270/100)</f>
        <v>376.062309555197</v>
      </c>
      <c r="D270" s="3" t="n">
        <f aca="false">D269*(1+'Raw Data'!D270/100)</f>
        <v>365.283019460803</v>
      </c>
    </row>
    <row r="271" customFormat="false" ht="15" hidden="false" customHeight="false" outlineLevel="0" collapsed="false">
      <c r="A271" s="4" t="s">
        <v>274</v>
      </c>
      <c r="B271" s="5" t="n">
        <f aca="false">B270*(1+'Raw Data'!B271/100)</f>
        <v>253.885846541263</v>
      </c>
      <c r="C271" s="5" t="n">
        <f aca="false">C270*(1+'Raw Data'!C271/100)</f>
        <v>331.423713410995</v>
      </c>
      <c r="D271" s="5" t="n">
        <f aca="false">D270*(1+'Raw Data'!D271/100)</f>
        <v>334.599245826095</v>
      </c>
    </row>
    <row r="272" customFormat="false" ht="15" hidden="false" customHeight="false" outlineLevel="0" collapsed="false">
      <c r="A272" s="2" t="s">
        <v>275</v>
      </c>
      <c r="B272" s="3" t="n">
        <f aca="false">B271*(1+'Raw Data'!B272/100)</f>
        <v>265.412263974236</v>
      </c>
      <c r="C272" s="3" t="n">
        <f aca="false">C271*(1+'Raw Data'!C272/100)</f>
        <v>374.07794532699</v>
      </c>
      <c r="D272" s="3" t="n">
        <f aca="false">D271*(1+'Raw Data'!D272/100)</f>
        <v>366.051574933748</v>
      </c>
    </row>
    <row r="273" customFormat="false" ht="15" hidden="false" customHeight="false" outlineLevel="0" collapsed="false">
      <c r="A273" s="4" t="s">
        <v>276</v>
      </c>
      <c r="B273" s="5" t="n">
        <f aca="false">B272*(1+'Raw Data'!B273/100)</f>
        <v>259.785523977982</v>
      </c>
      <c r="C273" s="5" t="n">
        <f aca="false">C272*(1+'Raw Data'!C273/100)</f>
        <v>352.119569936296</v>
      </c>
      <c r="D273" s="5" t="n">
        <f aca="false">D272*(1+'Raw Data'!D273/100)</f>
        <v>351.043460361465</v>
      </c>
    </row>
    <row r="274" customFormat="false" ht="15" hidden="false" customHeight="false" outlineLevel="0" collapsed="false">
      <c r="A274" s="2" t="s">
        <v>277</v>
      </c>
      <c r="B274" s="3" t="n">
        <f aca="false">B273*(1+'Raw Data'!B274/100)</f>
        <v>247.991261189382</v>
      </c>
      <c r="C274" s="3" t="n">
        <f aca="false">C273*(1+'Raw Data'!C274/100)</f>
        <v>306.801781285494</v>
      </c>
      <c r="D274" s="3" t="n">
        <f aca="false">D273*(1+'Raw Data'!D274/100)</f>
        <v>318.045375087487</v>
      </c>
    </row>
    <row r="275" customFormat="false" ht="15" hidden="false" customHeight="false" outlineLevel="0" collapsed="false">
      <c r="A275" s="4" t="s">
        <v>278</v>
      </c>
      <c r="B275" s="5" t="n">
        <f aca="false">B274*(1+'Raw Data'!B275/100)</f>
        <v>257.588522997411</v>
      </c>
      <c r="C275" s="5" t="n">
        <f aca="false">C274*(1+'Raw Data'!C275/100)</f>
        <v>340.151134911228</v>
      </c>
      <c r="D275" s="5" t="n">
        <f aca="false">D274*(1+'Raw Data'!D275/100)</f>
        <v>343.170959719398</v>
      </c>
    </row>
    <row r="276" customFormat="false" ht="15" hidden="false" customHeight="false" outlineLevel="0" collapsed="false">
      <c r="A276" s="2" t="s">
        <v>279</v>
      </c>
      <c r="B276" s="3" t="n">
        <f aca="false">B275*(1+'Raw Data'!B276/100)</f>
        <v>264.466136561442</v>
      </c>
      <c r="C276" s="3" t="n">
        <f aca="false">C275*(1+'Raw Data'!C276/100)</f>
        <v>365.424364235132</v>
      </c>
      <c r="D276" s="3" t="n">
        <f aca="false">D275*(1+'Raw Data'!D276/100)</f>
        <v>362.045362503965</v>
      </c>
    </row>
    <row r="277" customFormat="false" ht="15" hidden="false" customHeight="false" outlineLevel="0" collapsed="false">
      <c r="A277" s="4" t="s">
        <v>280</v>
      </c>
      <c r="B277" s="5" t="n">
        <f aca="false">B276*(1+'Raw Data'!B277/100)</f>
        <v>256.875958442128</v>
      </c>
      <c r="C277" s="5" t="n">
        <f aca="false">C276*(1+'Raw Data'!C277/100)</f>
        <v>335.751905859239</v>
      </c>
      <c r="D277" s="5" t="n">
        <f aca="false">D276*(1+'Raw Data'!D277/100)</f>
        <v>340.684686116231</v>
      </c>
    </row>
    <row r="278" customFormat="false" ht="15" hidden="false" customHeight="false" outlineLevel="0" collapsed="false">
      <c r="A278" s="2" t="s">
        <v>281</v>
      </c>
      <c r="B278" s="3" t="n">
        <f aca="false">B277*(1+'Raw Data'!B278/100)</f>
        <v>264.890488345523</v>
      </c>
      <c r="C278" s="3" t="n">
        <f aca="false">C277*(1+'Raw Data'!C278/100)</f>
        <v>365.533099908954</v>
      </c>
      <c r="D278" s="3" t="n">
        <f aca="false">D277*(1+'Raw Data'!D278/100)</f>
        <v>362.147821341554</v>
      </c>
    </row>
    <row r="279" customFormat="false" ht="15" hidden="false" customHeight="false" outlineLevel="0" collapsed="false">
      <c r="A279" s="4" t="s">
        <v>282</v>
      </c>
      <c r="B279" s="5" t="n">
        <f aca="false">B278*(1+'Raw Data'!B279/100)</f>
        <v>261.340955801693</v>
      </c>
      <c r="C279" s="5" t="n">
        <f aca="false">C278*(1+'Raw Data'!C279/100)</f>
        <v>352.593228172177</v>
      </c>
      <c r="D279" s="5" t="n">
        <f aca="false">D278*(1+'Raw Data'!D279/100)</f>
        <v>352.731977986674</v>
      </c>
    </row>
    <row r="280" customFormat="false" ht="15" hidden="false" customHeight="false" outlineLevel="0" collapsed="false">
      <c r="A280" s="2" t="s">
        <v>283</v>
      </c>
      <c r="B280" s="3" t="n">
        <f aca="false">B279*(1+'Raw Data'!B280/100)</f>
        <v>266.228031675184</v>
      </c>
      <c r="C280" s="3" t="n">
        <f aca="false">C279*(1+'Raw Data'!C280/100)</f>
        <v>370.646001454592</v>
      </c>
      <c r="D280" s="3" t="n">
        <f aca="false">D279*(1+'Raw Data'!D280/100)</f>
        <v>365.78306117218</v>
      </c>
    </row>
    <row r="281" customFormat="false" ht="15" hidden="false" customHeight="false" outlineLevel="0" collapsed="false">
      <c r="A281" s="4" t="s">
        <v>284</v>
      </c>
      <c r="B281" s="5" t="n">
        <f aca="false">B280*(1+'Raw Data'!B281/100)</f>
        <v>268.544215550759</v>
      </c>
      <c r="C281" s="5" t="n">
        <f aca="false">C280*(1+'Raw Data'!C281/100)</f>
        <v>378.91140728703</v>
      </c>
      <c r="D281" s="5" t="n">
        <f aca="false">D280*(1+'Raw Data'!D281/100)</f>
        <v>371.635590150935</v>
      </c>
    </row>
    <row r="282" customFormat="false" ht="15" hidden="false" customHeight="false" outlineLevel="0" collapsed="false">
      <c r="A282" s="2" t="s">
        <v>285</v>
      </c>
      <c r="B282" s="3" t="n">
        <f aca="false">B281*(1+'Raw Data'!B282/100)</f>
        <v>267.631165217886</v>
      </c>
      <c r="C282" s="3" t="n">
        <f aca="false">C281*(1+'Raw Data'!C282/100)</f>
        <v>375.614878043632</v>
      </c>
      <c r="D282" s="3" t="n">
        <f aca="false">D281*(1+'Raw Data'!D282/100)</f>
        <v>369.40577661003</v>
      </c>
    </row>
    <row r="283" customFormat="false" ht="15" hidden="false" customHeight="false" outlineLevel="0" collapsed="false">
      <c r="A283" s="4" t="s">
        <v>286</v>
      </c>
      <c r="B283" s="5" t="n">
        <f aca="false">B282*(1+'Raw Data'!B283/100)</f>
        <v>276.275651854424</v>
      </c>
      <c r="C283" s="5" t="n">
        <f aca="false">C282*(1+'Raw Data'!C283/100)</f>
        <v>409.870954921212</v>
      </c>
      <c r="D283" s="5" t="n">
        <f aca="false">D282*(1+'Raw Data'!D283/100)</f>
        <v>393.786557866292</v>
      </c>
    </row>
    <row r="284" customFormat="false" ht="15" hidden="false" customHeight="false" outlineLevel="0" collapsed="false">
      <c r="A284" s="2" t="s">
        <v>287</v>
      </c>
      <c r="B284" s="3" t="n">
        <f aca="false">B283*(1+'Raw Data'!B284/100)</f>
        <v>281.055220631505</v>
      </c>
      <c r="C284" s="3" t="n">
        <f aca="false">C283*(1+'Raw Data'!C284/100)</f>
        <v>428.028238224221</v>
      </c>
      <c r="D284" s="3" t="n">
        <f aca="false">D283*(1+'Raw Data'!D284/100)</f>
        <v>406.781514275879</v>
      </c>
    </row>
    <row r="285" customFormat="false" ht="15" hidden="false" customHeight="false" outlineLevel="0" collapsed="false">
      <c r="A285" s="4" t="s">
        <v>288</v>
      </c>
      <c r="B285" s="5" t="n">
        <f aca="false">B284*(1+'Raw Data'!B285/100)</f>
        <v>278.413301557569</v>
      </c>
      <c r="C285" s="5" t="n">
        <f aca="false">C284*(1+'Raw Data'!C285/100)</f>
        <v>417.627152035373</v>
      </c>
      <c r="D285" s="5" t="n">
        <f aca="false">D284*(1+'Raw Data'!D285/100)</f>
        <v>399.459447018913</v>
      </c>
    </row>
    <row r="286" customFormat="false" ht="15" hidden="false" customHeight="false" outlineLevel="0" collapsed="false">
      <c r="A286" s="2" t="s">
        <v>289</v>
      </c>
      <c r="B286" s="3" t="n">
        <f aca="false">B285*(1+'Raw Data'!B286/100)</f>
        <v>271.64785832972</v>
      </c>
      <c r="C286" s="3" t="n">
        <f aca="false">C285*(1+'Raw Data'!C286/100)</f>
        <v>388.936166690543</v>
      </c>
      <c r="D286" s="3" t="n">
        <f aca="false">D285*(1+'Raw Data'!D286/100)</f>
        <v>379.885934114987</v>
      </c>
    </row>
    <row r="287" customFormat="false" ht="15" hidden="false" customHeight="false" outlineLevel="0" collapsed="false">
      <c r="A287" s="4" t="s">
        <v>290</v>
      </c>
      <c r="B287" s="5" t="n">
        <f aca="false">B286*(1+'Raw Data'!B287/100)</f>
        <v>267.763293955605</v>
      </c>
      <c r="C287" s="5" t="n">
        <f aca="false">C286*(1+'Raw Data'!C287/100)</f>
        <v>373.884337039619</v>
      </c>
      <c r="D287" s="5" t="n">
        <f aca="false">D286*(1+'Raw Data'!D287/100)</f>
        <v>369.249127959767</v>
      </c>
    </row>
    <row r="288" customFormat="false" ht="15" hidden="false" customHeight="false" outlineLevel="0" collapsed="false">
      <c r="A288" s="2" t="s">
        <v>291</v>
      </c>
      <c r="B288" s="3" t="n">
        <f aca="false">B287*(1+'Raw Data'!B288/100)</f>
        <v>279.91974750119</v>
      </c>
      <c r="C288" s="3" t="n">
        <f aca="false">C287*(1+'Raw Data'!C288/100)</f>
        <v>420.358160133643</v>
      </c>
      <c r="D288" s="3" t="n">
        <f aca="false">D287*(1+'Raw Data'!D288/100)</f>
        <v>403.220047732066</v>
      </c>
    </row>
    <row r="289" customFormat="false" ht="15" hidden="false" customHeight="false" outlineLevel="0" collapsed="false">
      <c r="A289" s="4" t="s">
        <v>292</v>
      </c>
      <c r="B289" s="5" t="n">
        <f aca="false">B288*(1+'Raw Data'!B289/100)</f>
        <v>286.161957870466</v>
      </c>
      <c r="C289" s="5" t="n">
        <f aca="false">C288*(1+'Raw Data'!C289/100)</f>
        <v>446.084079533822</v>
      </c>
      <c r="D289" s="5" t="n">
        <f aca="false">D288*(1+'Raw Data'!D289/100)</f>
        <v>421.768169927741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2026-03-17T14:25:31Z</dcterms:created>
  <dc:creator>openpyxl</dc:creator>
  <dc:description/>
  <dc:language>en-US</dc:language>
  <cp:lastModifiedBy/>
  <dcterms:modified xsi:type="dcterms:W3CDTF">2026-03-17T14:25:31Z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